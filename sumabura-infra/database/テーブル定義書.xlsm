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development\sumabura-tool\sumabura-devtool\database\"/>
    </mc:Choice>
  </mc:AlternateContent>
  <xr:revisionPtr revIDLastSave="0" documentId="13_ncr:1_{793C55C1-73B9-475C-999F-1B89F6344DEB}" xr6:coauthVersionLast="47" xr6:coauthVersionMax="47" xr10:uidLastSave="{00000000-0000-0000-0000-000000000000}"/>
  <bookViews>
    <workbookView xWindow="-108" yWindow="-108" windowWidth="23256" windowHeight="12456" xr2:uid="{556F9C60-5F00-4990-B298-66523B57B415}"/>
  </bookViews>
  <sheets>
    <sheet name="テーブル一覧" sheetId="24" r:id="rId1"/>
    <sheet name="ファイターリスト" sheetId="21" r:id="rId2"/>
    <sheet name="D.ファイターリスト" sheetId="15" r:id="rId3"/>
    <sheet name="プレイヤー管理" sheetId="22" r:id="rId4"/>
    <sheet name="D.プレイヤー管理" sheetId="17" r:id="rId5"/>
    <sheet name="勝率管理" sheetId="25" r:id="rId6"/>
    <sheet name="D.勝率管理" sheetId="26" r:id="rId7"/>
  </sheets>
  <definedNames>
    <definedName name="_xlnm._FilterDatabase" localSheetId="2" hidden="1">D.ファイターリスト!$A$4:$D$86</definedName>
    <definedName name="_xlnm._FilterDatabase" localSheetId="6" hidden="1">D.勝率管理!$A$4:$I$578</definedName>
    <definedName name="_xlnm.Print_Titles" localSheetId="0">テーブル一覧!$1:$6</definedName>
    <definedName name="_xlnm.Print_Titles" localSheetId="1">ファイターリスト!$1:$6</definedName>
    <definedName name="_xlnm.Print_Titles" localSheetId="3">プレイヤー管理!$1:$6</definedName>
    <definedName name="_xlnm.Print_Titles" localSheetId="5">勝率管理!$1:$6</definedName>
    <definedName name="スキーマ">テーブル一覧!$C$4</definedName>
    <definedName name="テーブル論理名">テーブル一覧!$B$6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 i="26" l="1"/>
  <c r="F7" i="26"/>
  <c r="F8" i="26"/>
  <c r="F9" i="26"/>
  <c r="F10" i="26"/>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F54" i="26"/>
  <c r="F55" i="26"/>
  <c r="F56" i="26"/>
  <c r="F57" i="26"/>
  <c r="F58" i="26"/>
  <c r="F59" i="26"/>
  <c r="F60" i="26"/>
  <c r="F61" i="26"/>
  <c r="F62" i="26"/>
  <c r="F63" i="26"/>
  <c r="F64" i="26"/>
  <c r="F65" i="26"/>
  <c r="F66" i="26"/>
  <c r="F67" i="26"/>
  <c r="F68" i="26"/>
  <c r="F69" i="26"/>
  <c r="F70" i="26"/>
  <c r="F71" i="26"/>
  <c r="F72" i="26"/>
  <c r="F73" i="26"/>
  <c r="F74" i="26"/>
  <c r="F75" i="26"/>
  <c r="F76" i="26"/>
  <c r="F77" i="26"/>
  <c r="F78" i="26"/>
  <c r="F79" i="26"/>
  <c r="F80" i="26"/>
  <c r="F81" i="26"/>
  <c r="F82" i="26"/>
  <c r="F83" i="26"/>
  <c r="F84" i="26"/>
  <c r="F85" i="26"/>
  <c r="F86" i="26"/>
  <c r="F87" i="26"/>
  <c r="F88" i="26"/>
  <c r="F89" i="26"/>
  <c r="F90" i="26"/>
  <c r="F91" i="26"/>
  <c r="F92" i="26"/>
  <c r="F93" i="26"/>
  <c r="F94" i="26"/>
  <c r="F95" i="26"/>
  <c r="F96" i="26"/>
  <c r="F97" i="26"/>
  <c r="F98" i="26"/>
  <c r="F99" i="26"/>
  <c r="F100" i="26"/>
  <c r="F101" i="26"/>
  <c r="F102" i="26"/>
  <c r="F103" i="26"/>
  <c r="F104" i="26"/>
  <c r="F105" i="26"/>
  <c r="F106" i="26"/>
  <c r="F107" i="26"/>
  <c r="F108" i="26"/>
  <c r="F109" i="26"/>
  <c r="F110" i="26"/>
  <c r="F111" i="26"/>
  <c r="F112" i="26"/>
  <c r="F113" i="26"/>
  <c r="F114" i="26"/>
  <c r="F115" i="26"/>
  <c r="F116" i="26"/>
  <c r="F117" i="26"/>
  <c r="F118" i="26"/>
  <c r="F119" i="26"/>
  <c r="F120" i="26"/>
  <c r="F121" i="26"/>
  <c r="F122" i="26"/>
  <c r="F123" i="26"/>
  <c r="F124" i="26"/>
  <c r="F125" i="26"/>
  <c r="F126" i="26"/>
  <c r="F127" i="26"/>
  <c r="F128" i="26"/>
  <c r="F129" i="26"/>
  <c r="F130" i="26"/>
  <c r="F131" i="26"/>
  <c r="F132" i="26"/>
  <c r="F133" i="26"/>
  <c r="F134" i="26"/>
  <c r="F135" i="26"/>
  <c r="F136" i="26"/>
  <c r="F137" i="26"/>
  <c r="F138" i="26"/>
  <c r="F139" i="26"/>
  <c r="F140" i="26"/>
  <c r="F141" i="26"/>
  <c r="F142" i="26"/>
  <c r="F143" i="26"/>
  <c r="F144" i="26"/>
  <c r="F145" i="26"/>
  <c r="F146" i="26"/>
  <c r="F147" i="26"/>
  <c r="F148" i="26"/>
  <c r="F149" i="26"/>
  <c r="F150" i="26"/>
  <c r="F151" i="26"/>
  <c r="F152" i="26"/>
  <c r="F153" i="26"/>
  <c r="F154" i="26"/>
  <c r="F155" i="26"/>
  <c r="F156" i="26"/>
  <c r="F157" i="26"/>
  <c r="F158" i="26"/>
  <c r="F159" i="26"/>
  <c r="F160" i="26"/>
  <c r="F161" i="26"/>
  <c r="F162" i="26"/>
  <c r="F163" i="26"/>
  <c r="F164" i="26"/>
  <c r="F165" i="26"/>
  <c r="F166" i="26"/>
  <c r="F167" i="26"/>
  <c r="F168" i="26"/>
  <c r="F169" i="26"/>
  <c r="F170" i="26"/>
  <c r="F171" i="26"/>
  <c r="F172" i="26"/>
  <c r="F173" i="26"/>
  <c r="F174" i="26"/>
  <c r="F175" i="26"/>
  <c r="F176" i="26"/>
  <c r="F177" i="26"/>
  <c r="F178" i="26"/>
  <c r="F179" i="26"/>
  <c r="F180" i="26"/>
  <c r="F181" i="26"/>
  <c r="F182" i="26"/>
  <c r="F183" i="26"/>
  <c r="F184" i="26"/>
  <c r="F185" i="26"/>
  <c r="F186" i="26"/>
  <c r="F187" i="26"/>
  <c r="F188" i="26"/>
  <c r="F189" i="26"/>
  <c r="F190" i="26"/>
  <c r="F191" i="26"/>
  <c r="F192" i="26"/>
  <c r="F193" i="26"/>
  <c r="F194" i="26"/>
  <c r="F195" i="26"/>
  <c r="F196" i="26"/>
  <c r="F197" i="26"/>
  <c r="F198" i="26"/>
  <c r="F199" i="26"/>
  <c r="F200" i="26"/>
  <c r="F201" i="26"/>
  <c r="F202" i="26"/>
  <c r="F203" i="26"/>
  <c r="F204" i="26"/>
  <c r="F205" i="26"/>
  <c r="F206" i="26"/>
  <c r="F207" i="26"/>
  <c r="F208" i="26"/>
  <c r="F209" i="26"/>
  <c r="F210" i="26"/>
  <c r="F211" i="26"/>
  <c r="F212" i="26"/>
  <c r="F213" i="26"/>
  <c r="F214" i="26"/>
  <c r="F215" i="26"/>
  <c r="F216" i="26"/>
  <c r="F217" i="26"/>
  <c r="F218" i="26"/>
  <c r="F219" i="26"/>
  <c r="F220" i="26"/>
  <c r="F221" i="26"/>
  <c r="F222" i="26"/>
  <c r="F223" i="26"/>
  <c r="F224" i="26"/>
  <c r="F225" i="26"/>
  <c r="F226" i="26"/>
  <c r="F227" i="26"/>
  <c r="F228" i="26"/>
  <c r="F229" i="26"/>
  <c r="F230" i="26"/>
  <c r="F231" i="26"/>
  <c r="F232" i="26"/>
  <c r="F233" i="26"/>
  <c r="F234" i="26"/>
  <c r="F235" i="26"/>
  <c r="F236" i="26"/>
  <c r="F237" i="26"/>
  <c r="F238" i="26"/>
  <c r="F239" i="26"/>
  <c r="F240" i="26"/>
  <c r="F241" i="26"/>
  <c r="F242" i="26"/>
  <c r="F243" i="26"/>
  <c r="F244" i="26"/>
  <c r="F245" i="26"/>
  <c r="F246" i="26"/>
  <c r="F247" i="26"/>
  <c r="F248" i="26"/>
  <c r="F249" i="26"/>
  <c r="F250" i="26"/>
  <c r="F251" i="26"/>
  <c r="F252" i="26"/>
  <c r="F253" i="26"/>
  <c r="F254" i="26"/>
  <c r="F255" i="26"/>
  <c r="F256" i="26"/>
  <c r="F257" i="26"/>
  <c r="F258" i="26"/>
  <c r="F259" i="26"/>
  <c r="F260" i="26"/>
  <c r="F261" i="26"/>
  <c r="F262" i="26"/>
  <c r="F263" i="26"/>
  <c r="F264" i="26"/>
  <c r="F265" i="26"/>
  <c r="F266" i="26"/>
  <c r="F267" i="26"/>
  <c r="F268" i="26"/>
  <c r="F269" i="26"/>
  <c r="F270" i="26"/>
  <c r="F271" i="26"/>
  <c r="F272" i="26"/>
  <c r="F273" i="26"/>
  <c r="F274" i="26"/>
  <c r="F275" i="26"/>
  <c r="F276" i="26"/>
  <c r="F277" i="26"/>
  <c r="F278" i="26"/>
  <c r="F279" i="26"/>
  <c r="F280" i="26"/>
  <c r="F281" i="26"/>
  <c r="F282" i="26"/>
  <c r="F283" i="26"/>
  <c r="F284" i="26"/>
  <c r="F285" i="26"/>
  <c r="F286" i="26"/>
  <c r="F287" i="26"/>
  <c r="F288" i="26"/>
  <c r="F289" i="26"/>
  <c r="F290" i="26"/>
  <c r="F291" i="26"/>
  <c r="F292" i="26"/>
  <c r="F293" i="26"/>
  <c r="F294" i="26"/>
  <c r="F295" i="26"/>
  <c r="F296" i="26"/>
  <c r="F297" i="26"/>
  <c r="F298" i="26"/>
  <c r="F299" i="26"/>
  <c r="F300" i="26"/>
  <c r="F301" i="26"/>
  <c r="F302" i="26"/>
  <c r="F303" i="26"/>
  <c r="F304" i="26"/>
  <c r="F305" i="26"/>
  <c r="F306" i="26"/>
  <c r="F307" i="26"/>
  <c r="F308" i="26"/>
  <c r="F309" i="26"/>
  <c r="F310" i="26"/>
  <c r="F311" i="26"/>
  <c r="F312" i="26"/>
  <c r="F313" i="26"/>
  <c r="F314" i="26"/>
  <c r="F315" i="26"/>
  <c r="F316" i="26"/>
  <c r="F317" i="26"/>
  <c r="F318" i="26"/>
  <c r="F319" i="26"/>
  <c r="F320" i="26"/>
  <c r="F321" i="26"/>
  <c r="F322" i="26"/>
  <c r="F323" i="26"/>
  <c r="F324" i="26"/>
  <c r="F325" i="26"/>
  <c r="F326" i="26"/>
  <c r="F327" i="26"/>
  <c r="F328" i="26"/>
  <c r="F329" i="26"/>
  <c r="F330" i="26"/>
  <c r="F331" i="26"/>
  <c r="F332" i="26"/>
  <c r="F333" i="26"/>
  <c r="F334" i="26"/>
  <c r="F335" i="26"/>
  <c r="F336" i="26"/>
  <c r="F337" i="26"/>
  <c r="F338" i="26"/>
  <c r="F339" i="26"/>
  <c r="F340" i="26"/>
  <c r="F341" i="26"/>
  <c r="F342" i="26"/>
  <c r="F343" i="26"/>
  <c r="F344" i="26"/>
  <c r="F345" i="26"/>
  <c r="F346" i="26"/>
  <c r="F347" i="26"/>
  <c r="F348" i="26"/>
  <c r="F349" i="26"/>
  <c r="F350" i="26"/>
  <c r="F351" i="26"/>
  <c r="F352" i="26"/>
  <c r="F353" i="26"/>
  <c r="F354" i="26"/>
  <c r="F355" i="26"/>
  <c r="F356" i="26"/>
  <c r="F357" i="26"/>
  <c r="F358" i="26"/>
  <c r="F359" i="26"/>
  <c r="F360" i="26"/>
  <c r="F361" i="26"/>
  <c r="F362" i="26"/>
  <c r="F363" i="26"/>
  <c r="F364" i="26"/>
  <c r="F365" i="26"/>
  <c r="F366" i="26"/>
  <c r="F367" i="26"/>
  <c r="F368" i="26"/>
  <c r="F369" i="26"/>
  <c r="F370" i="26"/>
  <c r="F371" i="26"/>
  <c r="F372" i="26"/>
  <c r="F373" i="26"/>
  <c r="F374" i="26"/>
  <c r="F375" i="26"/>
  <c r="F376" i="26"/>
  <c r="F377" i="26"/>
  <c r="F378" i="26"/>
  <c r="F379" i="26"/>
  <c r="F380" i="26"/>
  <c r="F381" i="26"/>
  <c r="F382" i="26"/>
  <c r="F383" i="26"/>
  <c r="F384" i="26"/>
  <c r="F385" i="26"/>
  <c r="F386" i="26"/>
  <c r="F387" i="26"/>
  <c r="F388" i="26"/>
  <c r="F389" i="26"/>
  <c r="F390" i="26"/>
  <c r="F391" i="26"/>
  <c r="F392" i="26"/>
  <c r="F393" i="26"/>
  <c r="F394" i="26"/>
  <c r="F395" i="26"/>
  <c r="F396" i="26"/>
  <c r="F397" i="26"/>
  <c r="F398" i="26"/>
  <c r="F399" i="26"/>
  <c r="F400" i="26"/>
  <c r="F401" i="26"/>
  <c r="F402" i="26"/>
  <c r="F403" i="26"/>
  <c r="F404" i="26"/>
  <c r="F405" i="26"/>
  <c r="F406" i="26"/>
  <c r="F407" i="26"/>
  <c r="F408" i="26"/>
  <c r="F409" i="26"/>
  <c r="F410" i="26"/>
  <c r="F411" i="26"/>
  <c r="F412" i="26"/>
  <c r="F413" i="26"/>
  <c r="F414" i="26"/>
  <c r="F415" i="26"/>
  <c r="F416" i="26"/>
  <c r="F417" i="26"/>
  <c r="F418" i="26"/>
  <c r="F419" i="26"/>
  <c r="F420" i="26"/>
  <c r="F421" i="26"/>
  <c r="F422" i="26"/>
  <c r="F423" i="26"/>
  <c r="F424" i="26"/>
  <c r="F425" i="26"/>
  <c r="F426" i="26"/>
  <c r="F427" i="26"/>
  <c r="F428" i="26"/>
  <c r="F429" i="26"/>
  <c r="F430" i="26"/>
  <c r="F431" i="26"/>
  <c r="F432" i="26"/>
  <c r="F433" i="26"/>
  <c r="F434" i="26"/>
  <c r="F435" i="26"/>
  <c r="F436" i="26"/>
  <c r="F437" i="26"/>
  <c r="F438" i="26"/>
  <c r="F439" i="26"/>
  <c r="F440" i="26"/>
  <c r="F441" i="26"/>
  <c r="F442" i="26"/>
  <c r="F443" i="26"/>
  <c r="F444" i="26"/>
  <c r="F445" i="26"/>
  <c r="F446" i="26"/>
  <c r="F447" i="26"/>
  <c r="F448" i="26"/>
  <c r="F449" i="26"/>
  <c r="F450" i="26"/>
  <c r="F451" i="26"/>
  <c r="F452" i="26"/>
  <c r="F453" i="26"/>
  <c r="F454" i="26"/>
  <c r="F455" i="26"/>
  <c r="F456" i="26"/>
  <c r="F457" i="26"/>
  <c r="F458" i="26"/>
  <c r="F459" i="26"/>
  <c r="F460" i="26"/>
  <c r="F461" i="26"/>
  <c r="F462" i="26"/>
  <c r="F463" i="26"/>
  <c r="F464" i="26"/>
  <c r="F465" i="26"/>
  <c r="F466" i="26"/>
  <c r="F467" i="26"/>
  <c r="F468" i="26"/>
  <c r="F469" i="26"/>
  <c r="F470" i="26"/>
  <c r="F471" i="26"/>
  <c r="F472" i="26"/>
  <c r="F473" i="26"/>
  <c r="F474" i="26"/>
  <c r="F475" i="26"/>
  <c r="F476" i="26"/>
  <c r="F477" i="26"/>
  <c r="F478" i="26"/>
  <c r="F479" i="26"/>
  <c r="F480" i="26"/>
  <c r="F481" i="26"/>
  <c r="F482" i="26"/>
  <c r="F483" i="26"/>
  <c r="F484" i="26"/>
  <c r="F485" i="26"/>
  <c r="F486" i="26"/>
  <c r="F487" i="26"/>
  <c r="F488" i="26"/>
  <c r="F489" i="26"/>
  <c r="F490" i="26"/>
  <c r="F491" i="26"/>
  <c r="F492" i="26"/>
  <c r="F493" i="26"/>
  <c r="F494" i="26"/>
  <c r="F495" i="26"/>
  <c r="F496" i="26"/>
  <c r="F497" i="26"/>
  <c r="F498" i="26"/>
  <c r="F499" i="26"/>
  <c r="F500" i="26"/>
  <c r="F501" i="26"/>
  <c r="F502" i="26"/>
  <c r="F503" i="26"/>
  <c r="F504" i="26"/>
  <c r="F505" i="26"/>
  <c r="F506" i="26"/>
  <c r="F507" i="26"/>
  <c r="F508" i="26"/>
  <c r="F509" i="26"/>
  <c r="F510" i="26"/>
  <c r="F511" i="26"/>
  <c r="F512" i="26"/>
  <c r="F513" i="26"/>
  <c r="F514" i="26"/>
  <c r="F515" i="26"/>
  <c r="F516" i="26"/>
  <c r="F517" i="26"/>
  <c r="F518" i="26"/>
  <c r="F519" i="26"/>
  <c r="F520" i="26"/>
  <c r="F521" i="26"/>
  <c r="F522" i="26"/>
  <c r="F523" i="26"/>
  <c r="F524" i="26"/>
  <c r="F525" i="26"/>
  <c r="F526" i="26"/>
  <c r="F527" i="26"/>
  <c r="F528" i="26"/>
  <c r="F529" i="26"/>
  <c r="F530" i="26"/>
  <c r="F531" i="26"/>
  <c r="F532" i="26"/>
  <c r="F533" i="26"/>
  <c r="F534" i="26"/>
  <c r="F535" i="26"/>
  <c r="F536" i="26"/>
  <c r="F537" i="26"/>
  <c r="F538" i="26"/>
  <c r="F539" i="26"/>
  <c r="F540" i="26"/>
  <c r="F541" i="26"/>
  <c r="F542" i="26"/>
  <c r="F543" i="26"/>
  <c r="F544" i="26"/>
  <c r="F545" i="26"/>
  <c r="F546" i="26"/>
  <c r="F547" i="26"/>
  <c r="F548" i="26"/>
  <c r="F549" i="26"/>
  <c r="F550" i="26"/>
  <c r="F551" i="26"/>
  <c r="F552" i="26"/>
  <c r="F553" i="26"/>
  <c r="F554" i="26"/>
  <c r="F555" i="26"/>
  <c r="F556" i="26"/>
  <c r="F557" i="26"/>
  <c r="F558" i="26"/>
  <c r="F559" i="26"/>
  <c r="F560" i="26"/>
  <c r="F561" i="26"/>
  <c r="F562" i="26"/>
  <c r="F563" i="26"/>
  <c r="F564" i="26"/>
  <c r="F565" i="26"/>
  <c r="F566" i="26"/>
  <c r="F567" i="26"/>
  <c r="F568" i="26"/>
  <c r="F569" i="26"/>
  <c r="F570" i="26"/>
  <c r="F571" i="26"/>
  <c r="F572" i="26"/>
  <c r="F573" i="26"/>
  <c r="F574" i="26"/>
  <c r="F575" i="26"/>
  <c r="F576" i="26"/>
  <c r="F577" i="26"/>
  <c r="F578" i="26"/>
  <c r="F5" i="26"/>
  <c r="C6" i="26"/>
  <c r="C7" i="26"/>
  <c r="C8" i="26"/>
  <c r="C9" i="26"/>
  <c r="C10" i="26"/>
  <c r="C11" i="26"/>
  <c r="C12" i="26"/>
  <c r="C13" i="26"/>
  <c r="C14" i="26"/>
  <c r="C15" i="26"/>
  <c r="C16" i="26"/>
  <c r="C17" i="26"/>
  <c r="C18" i="26"/>
  <c r="C19" i="26"/>
  <c r="C20" i="26"/>
  <c r="C21" i="26"/>
  <c r="C22" i="26"/>
  <c r="C23" i="26"/>
  <c r="C24" i="26"/>
  <c r="C25" i="26"/>
  <c r="C26" i="26"/>
  <c r="C27" i="26"/>
  <c r="C28" i="26"/>
  <c r="C29" i="26"/>
  <c r="C30" i="26"/>
  <c r="C31" i="26"/>
  <c r="C32" i="26"/>
  <c r="C33" i="26"/>
  <c r="C34" i="26"/>
  <c r="C35" i="26"/>
  <c r="C36" i="26"/>
  <c r="C37" i="26"/>
  <c r="C38" i="26"/>
  <c r="C39" i="26"/>
  <c r="C40" i="26"/>
  <c r="C41" i="26"/>
  <c r="C42" i="26"/>
  <c r="C43" i="26"/>
  <c r="C44" i="26"/>
  <c r="C45" i="26"/>
  <c r="C46" i="26"/>
  <c r="C47" i="26"/>
  <c r="C48" i="26"/>
  <c r="C49" i="26"/>
  <c r="C50" i="26"/>
  <c r="C51" i="26"/>
  <c r="C52" i="26"/>
  <c r="C53" i="26"/>
  <c r="C54" i="26"/>
  <c r="C55" i="26"/>
  <c r="C56" i="26"/>
  <c r="C57" i="26"/>
  <c r="C58" i="26"/>
  <c r="C59" i="26"/>
  <c r="C60" i="26"/>
  <c r="C61" i="26"/>
  <c r="C62" i="26"/>
  <c r="C63" i="26"/>
  <c r="C64" i="26"/>
  <c r="C65" i="26"/>
  <c r="C66" i="26"/>
  <c r="C67" i="26"/>
  <c r="C68" i="26"/>
  <c r="C69" i="26"/>
  <c r="C70" i="26"/>
  <c r="C71" i="26"/>
  <c r="C72" i="26"/>
  <c r="C73" i="26"/>
  <c r="C74" i="26"/>
  <c r="C75" i="26"/>
  <c r="C76" i="26"/>
  <c r="C77" i="26"/>
  <c r="C78" i="26"/>
  <c r="C79" i="26"/>
  <c r="C80" i="26"/>
  <c r="C81" i="26"/>
  <c r="C82" i="26"/>
  <c r="C83" i="26"/>
  <c r="C84" i="26"/>
  <c r="C85" i="26"/>
  <c r="C86" i="26"/>
  <c r="C87" i="26"/>
  <c r="C88" i="26"/>
  <c r="C89" i="26"/>
  <c r="C90" i="26"/>
  <c r="C91" i="26"/>
  <c r="C92" i="26"/>
  <c r="C93" i="26"/>
  <c r="C94" i="26"/>
  <c r="C95" i="26"/>
  <c r="C96" i="26"/>
  <c r="C97" i="26"/>
  <c r="C98" i="26"/>
  <c r="C99" i="26"/>
  <c r="C100" i="26"/>
  <c r="C101" i="26"/>
  <c r="C102" i="26"/>
  <c r="C103" i="26"/>
  <c r="C104" i="26"/>
  <c r="C105" i="26"/>
  <c r="C106" i="26"/>
  <c r="C107" i="26"/>
  <c r="C108" i="26"/>
  <c r="C109" i="26"/>
  <c r="C110" i="26"/>
  <c r="C111" i="26"/>
  <c r="C112" i="26"/>
  <c r="C113" i="26"/>
  <c r="C114" i="26"/>
  <c r="C115" i="26"/>
  <c r="C116" i="26"/>
  <c r="C117" i="26"/>
  <c r="C118" i="26"/>
  <c r="C119" i="26"/>
  <c r="C120" i="26"/>
  <c r="C121" i="26"/>
  <c r="C122" i="26"/>
  <c r="C123" i="26"/>
  <c r="C124" i="26"/>
  <c r="C125" i="26"/>
  <c r="C126" i="26"/>
  <c r="C127" i="26"/>
  <c r="C128" i="26"/>
  <c r="C129" i="26"/>
  <c r="C130" i="26"/>
  <c r="C131" i="26"/>
  <c r="C132" i="26"/>
  <c r="C133" i="26"/>
  <c r="C134" i="26"/>
  <c r="C135" i="26"/>
  <c r="C136" i="26"/>
  <c r="C137" i="26"/>
  <c r="C138" i="26"/>
  <c r="C139" i="26"/>
  <c r="C140" i="26"/>
  <c r="C141" i="26"/>
  <c r="C142" i="26"/>
  <c r="C143" i="26"/>
  <c r="C144" i="26"/>
  <c r="C145" i="26"/>
  <c r="C146" i="26"/>
  <c r="C147" i="26"/>
  <c r="C148" i="26"/>
  <c r="C149" i="26"/>
  <c r="C150" i="26"/>
  <c r="C151" i="26"/>
  <c r="C152" i="26"/>
  <c r="C153" i="26"/>
  <c r="C154" i="26"/>
  <c r="C155" i="26"/>
  <c r="C156" i="26"/>
  <c r="C157" i="26"/>
  <c r="C158" i="26"/>
  <c r="C159" i="26"/>
  <c r="C160" i="26"/>
  <c r="C161" i="26"/>
  <c r="C162" i="26"/>
  <c r="C163" i="26"/>
  <c r="C164" i="26"/>
  <c r="C165" i="26"/>
  <c r="C166" i="26"/>
  <c r="C167" i="26"/>
  <c r="C168" i="26"/>
  <c r="C169" i="26"/>
  <c r="C170" i="26"/>
  <c r="C171" i="26"/>
  <c r="C172" i="26"/>
  <c r="C173" i="26"/>
  <c r="C174" i="26"/>
  <c r="C175" i="26"/>
  <c r="C176" i="26"/>
  <c r="C177" i="26"/>
  <c r="C178" i="26"/>
  <c r="C179" i="26"/>
  <c r="C180" i="26"/>
  <c r="C181" i="26"/>
  <c r="C182" i="26"/>
  <c r="C183" i="26"/>
  <c r="C184" i="26"/>
  <c r="C185" i="26"/>
  <c r="C186" i="26"/>
  <c r="C187" i="26"/>
  <c r="C188" i="26"/>
  <c r="C189" i="26"/>
  <c r="C190" i="26"/>
  <c r="C191" i="26"/>
  <c r="C192" i="26"/>
  <c r="C193" i="26"/>
  <c r="C194" i="26"/>
  <c r="C195" i="26"/>
  <c r="C196" i="26"/>
  <c r="C197" i="26"/>
  <c r="C198" i="26"/>
  <c r="C199" i="26"/>
  <c r="C200" i="26"/>
  <c r="C201" i="26"/>
  <c r="C202" i="26"/>
  <c r="C203" i="26"/>
  <c r="C204" i="26"/>
  <c r="C205" i="26"/>
  <c r="C206" i="26"/>
  <c r="C207" i="26"/>
  <c r="C208" i="26"/>
  <c r="C209" i="26"/>
  <c r="C210" i="26"/>
  <c r="C211" i="26"/>
  <c r="C212" i="26"/>
  <c r="C213" i="26"/>
  <c r="C214" i="26"/>
  <c r="C215" i="26"/>
  <c r="C216" i="26"/>
  <c r="C217" i="26"/>
  <c r="C218" i="26"/>
  <c r="C219" i="26"/>
  <c r="C220" i="26"/>
  <c r="C221" i="26"/>
  <c r="C222" i="26"/>
  <c r="C223" i="26"/>
  <c r="C224" i="26"/>
  <c r="C225" i="26"/>
  <c r="C226" i="26"/>
  <c r="C227" i="26"/>
  <c r="C228" i="26"/>
  <c r="C229" i="26"/>
  <c r="C230" i="26"/>
  <c r="C231" i="26"/>
  <c r="C232" i="26"/>
  <c r="C233" i="26"/>
  <c r="C234" i="26"/>
  <c r="C235" i="26"/>
  <c r="C236" i="26"/>
  <c r="C237" i="26"/>
  <c r="C238" i="26"/>
  <c r="C239" i="26"/>
  <c r="C240" i="26"/>
  <c r="C241" i="26"/>
  <c r="C242" i="26"/>
  <c r="C243" i="26"/>
  <c r="C244" i="26"/>
  <c r="C245" i="26"/>
  <c r="C246" i="26"/>
  <c r="C247" i="26"/>
  <c r="C248" i="26"/>
  <c r="C249" i="26"/>
  <c r="C250" i="26"/>
  <c r="C251" i="26"/>
  <c r="C252" i="26"/>
  <c r="C253" i="26"/>
  <c r="C254" i="26"/>
  <c r="C255" i="26"/>
  <c r="C256" i="26"/>
  <c r="C257" i="26"/>
  <c r="C258" i="26"/>
  <c r="C259" i="26"/>
  <c r="C260" i="26"/>
  <c r="C261" i="26"/>
  <c r="C262" i="26"/>
  <c r="C263" i="26"/>
  <c r="C264" i="26"/>
  <c r="C265" i="26"/>
  <c r="C266" i="26"/>
  <c r="C267" i="26"/>
  <c r="C268" i="26"/>
  <c r="C269" i="26"/>
  <c r="C270" i="26"/>
  <c r="C271" i="26"/>
  <c r="C272" i="26"/>
  <c r="C273" i="26"/>
  <c r="C274" i="26"/>
  <c r="C275" i="26"/>
  <c r="C276" i="26"/>
  <c r="C277" i="26"/>
  <c r="C278" i="26"/>
  <c r="C279" i="26"/>
  <c r="C280" i="26"/>
  <c r="C281" i="26"/>
  <c r="C282" i="26"/>
  <c r="C283" i="26"/>
  <c r="C284" i="26"/>
  <c r="C285" i="26"/>
  <c r="C286" i="26"/>
  <c r="C287" i="26"/>
  <c r="C288" i="26"/>
  <c r="C289" i="26"/>
  <c r="C290" i="26"/>
  <c r="C291" i="26"/>
  <c r="C292" i="26"/>
  <c r="C293" i="26"/>
  <c r="C294" i="26"/>
  <c r="C295" i="26"/>
  <c r="C296" i="26"/>
  <c r="C297" i="26"/>
  <c r="C298" i="26"/>
  <c r="C299" i="26"/>
  <c r="C300" i="26"/>
  <c r="C301" i="26"/>
  <c r="C302" i="26"/>
  <c r="C303" i="26"/>
  <c r="C304" i="26"/>
  <c r="C305" i="26"/>
  <c r="C306" i="26"/>
  <c r="C307" i="26"/>
  <c r="C308" i="26"/>
  <c r="C309" i="26"/>
  <c r="C310" i="26"/>
  <c r="C311" i="26"/>
  <c r="C312" i="26"/>
  <c r="C313" i="26"/>
  <c r="C314" i="26"/>
  <c r="C315" i="26"/>
  <c r="C316" i="26"/>
  <c r="C317" i="26"/>
  <c r="C318" i="26"/>
  <c r="C319" i="26"/>
  <c r="C320" i="26"/>
  <c r="C321" i="26"/>
  <c r="C322" i="26"/>
  <c r="C323" i="26"/>
  <c r="C324" i="26"/>
  <c r="C325" i="26"/>
  <c r="C326" i="26"/>
  <c r="C327" i="26"/>
  <c r="C328" i="26"/>
  <c r="C329" i="26"/>
  <c r="C330" i="26"/>
  <c r="C331" i="26"/>
  <c r="C332" i="26"/>
  <c r="C333" i="26"/>
  <c r="C334" i="26"/>
  <c r="C335" i="26"/>
  <c r="C336" i="26"/>
  <c r="C337" i="26"/>
  <c r="C338" i="26"/>
  <c r="C339" i="26"/>
  <c r="C340" i="26"/>
  <c r="C341" i="26"/>
  <c r="C342" i="26"/>
  <c r="C343" i="26"/>
  <c r="C344" i="26"/>
  <c r="C345" i="26"/>
  <c r="C346" i="26"/>
  <c r="C347" i="26"/>
  <c r="C348" i="26"/>
  <c r="C349" i="26"/>
  <c r="C350" i="26"/>
  <c r="C351" i="26"/>
  <c r="C352" i="26"/>
  <c r="C353" i="26"/>
  <c r="C354" i="26"/>
  <c r="C355" i="26"/>
  <c r="C356" i="26"/>
  <c r="C357" i="26"/>
  <c r="C358" i="26"/>
  <c r="C359" i="26"/>
  <c r="C360" i="26"/>
  <c r="C361" i="26"/>
  <c r="C362" i="26"/>
  <c r="C363" i="26"/>
  <c r="C364" i="26"/>
  <c r="C365" i="26"/>
  <c r="C366" i="26"/>
  <c r="C367" i="26"/>
  <c r="C368" i="26"/>
  <c r="C369" i="26"/>
  <c r="C370" i="26"/>
  <c r="C371" i="26"/>
  <c r="C372" i="26"/>
  <c r="C373" i="26"/>
  <c r="C374" i="26"/>
  <c r="C375" i="26"/>
  <c r="C376" i="26"/>
  <c r="C377" i="26"/>
  <c r="C378" i="26"/>
  <c r="C379" i="26"/>
  <c r="C380" i="26"/>
  <c r="C381" i="26"/>
  <c r="C382" i="26"/>
  <c r="C383" i="26"/>
  <c r="C384" i="26"/>
  <c r="C385" i="26"/>
  <c r="C386" i="26"/>
  <c r="C387" i="26"/>
  <c r="C388" i="26"/>
  <c r="C389" i="26"/>
  <c r="C390" i="26"/>
  <c r="C391" i="26"/>
  <c r="C392" i="26"/>
  <c r="C393" i="26"/>
  <c r="C394" i="26"/>
  <c r="C395" i="26"/>
  <c r="C396" i="26"/>
  <c r="C397" i="26"/>
  <c r="C398" i="26"/>
  <c r="C399" i="26"/>
  <c r="C400" i="26"/>
  <c r="C401" i="26"/>
  <c r="C402" i="26"/>
  <c r="C403" i="26"/>
  <c r="C404" i="26"/>
  <c r="C405" i="26"/>
  <c r="C406" i="26"/>
  <c r="C407" i="26"/>
  <c r="C408" i="26"/>
  <c r="C409" i="26"/>
  <c r="C410" i="26"/>
  <c r="C411" i="26"/>
  <c r="C412" i="26"/>
  <c r="C413" i="26"/>
  <c r="C414" i="26"/>
  <c r="C415" i="26"/>
  <c r="C416" i="26"/>
  <c r="C417" i="26"/>
  <c r="C418" i="26"/>
  <c r="C419" i="26"/>
  <c r="C420" i="26"/>
  <c r="C421" i="26"/>
  <c r="C422" i="26"/>
  <c r="C423" i="26"/>
  <c r="C424" i="26"/>
  <c r="C425" i="26"/>
  <c r="C426" i="26"/>
  <c r="C427" i="26"/>
  <c r="C428" i="26"/>
  <c r="C429" i="26"/>
  <c r="C430" i="26"/>
  <c r="C431" i="26"/>
  <c r="C432" i="26"/>
  <c r="C433" i="26"/>
  <c r="C434" i="26"/>
  <c r="C435" i="26"/>
  <c r="C436" i="26"/>
  <c r="C437" i="26"/>
  <c r="C438" i="26"/>
  <c r="C439" i="26"/>
  <c r="C440" i="26"/>
  <c r="C441" i="26"/>
  <c r="C442" i="26"/>
  <c r="C443" i="26"/>
  <c r="C444" i="26"/>
  <c r="C445" i="26"/>
  <c r="C446" i="26"/>
  <c r="C447" i="26"/>
  <c r="C448" i="26"/>
  <c r="C449" i="26"/>
  <c r="C450" i="26"/>
  <c r="C451" i="26"/>
  <c r="C452" i="26"/>
  <c r="C453" i="26"/>
  <c r="C454" i="26"/>
  <c r="C455" i="26"/>
  <c r="C456" i="26"/>
  <c r="C457" i="26"/>
  <c r="C458" i="26"/>
  <c r="C459" i="26"/>
  <c r="C460" i="26"/>
  <c r="C461" i="26"/>
  <c r="C462" i="26"/>
  <c r="C463" i="26"/>
  <c r="C464" i="26"/>
  <c r="C465" i="26"/>
  <c r="C466" i="26"/>
  <c r="C467" i="26"/>
  <c r="C468" i="26"/>
  <c r="C469" i="26"/>
  <c r="C470" i="26"/>
  <c r="C471" i="26"/>
  <c r="C472" i="26"/>
  <c r="C473" i="26"/>
  <c r="C474" i="26"/>
  <c r="C475" i="26"/>
  <c r="C476" i="26"/>
  <c r="C477" i="26"/>
  <c r="C478" i="26"/>
  <c r="C479" i="26"/>
  <c r="C480" i="26"/>
  <c r="C481" i="26"/>
  <c r="C482" i="26"/>
  <c r="C483" i="26"/>
  <c r="C484" i="26"/>
  <c r="C485" i="26"/>
  <c r="C486" i="26"/>
  <c r="C487" i="26"/>
  <c r="C488" i="26"/>
  <c r="C489" i="26"/>
  <c r="C490" i="26"/>
  <c r="C491" i="26"/>
  <c r="C492" i="26"/>
  <c r="C493" i="26"/>
  <c r="C494" i="26"/>
  <c r="C495" i="26"/>
  <c r="C496" i="26"/>
  <c r="C497" i="26"/>
  <c r="C498" i="26"/>
  <c r="C499" i="26"/>
  <c r="C500" i="26"/>
  <c r="C501" i="26"/>
  <c r="C502" i="26"/>
  <c r="C503" i="26"/>
  <c r="C504" i="26"/>
  <c r="C505" i="26"/>
  <c r="C506" i="26"/>
  <c r="C507" i="26"/>
  <c r="C508" i="26"/>
  <c r="C509" i="26"/>
  <c r="C510" i="26"/>
  <c r="C511" i="26"/>
  <c r="C512" i="26"/>
  <c r="C513" i="26"/>
  <c r="C514" i="26"/>
  <c r="C515" i="26"/>
  <c r="C516" i="26"/>
  <c r="C517" i="26"/>
  <c r="C518" i="26"/>
  <c r="C519" i="26"/>
  <c r="C520" i="26"/>
  <c r="C521" i="26"/>
  <c r="C522" i="26"/>
  <c r="C523" i="26"/>
  <c r="C524" i="26"/>
  <c r="C525" i="26"/>
  <c r="C526" i="26"/>
  <c r="C527" i="26"/>
  <c r="C528" i="26"/>
  <c r="C529" i="26"/>
  <c r="C530" i="26"/>
  <c r="C531" i="26"/>
  <c r="C532" i="26"/>
  <c r="C533" i="26"/>
  <c r="C534" i="26"/>
  <c r="C535" i="26"/>
  <c r="C536" i="26"/>
  <c r="C537" i="26"/>
  <c r="C538" i="26"/>
  <c r="C539" i="26"/>
  <c r="C540" i="26"/>
  <c r="C541" i="26"/>
  <c r="C542" i="26"/>
  <c r="C543" i="26"/>
  <c r="C544" i="26"/>
  <c r="C545" i="26"/>
  <c r="C546" i="26"/>
  <c r="C547" i="26"/>
  <c r="C548" i="26"/>
  <c r="C549" i="26"/>
  <c r="C550" i="26"/>
  <c r="C551" i="26"/>
  <c r="C552" i="26"/>
  <c r="C553" i="26"/>
  <c r="C554" i="26"/>
  <c r="C555" i="26"/>
  <c r="C556" i="26"/>
  <c r="C557" i="26"/>
  <c r="C558" i="26"/>
  <c r="C559" i="26"/>
  <c r="C560" i="26"/>
  <c r="C561" i="26"/>
  <c r="C562" i="26"/>
  <c r="C563" i="26"/>
  <c r="C564" i="26"/>
  <c r="C565" i="26"/>
  <c r="C566" i="26"/>
  <c r="C567" i="26"/>
  <c r="C568" i="26"/>
  <c r="C569" i="26"/>
  <c r="C570" i="26"/>
  <c r="C571" i="26"/>
  <c r="C572" i="26"/>
  <c r="C573" i="26"/>
  <c r="C574" i="26"/>
  <c r="C575" i="26"/>
  <c r="C576" i="26"/>
  <c r="C577" i="26"/>
  <c r="C578" i="26"/>
  <c r="C5" i="26"/>
  <c r="A9" i="24"/>
  <c r="A1" i="26"/>
  <c r="C6" i="17"/>
  <c r="C7" i="17"/>
  <c r="C8" i="17"/>
  <c r="C9" i="17"/>
  <c r="C10" i="17"/>
  <c r="C11" i="17"/>
  <c r="C5" i="17"/>
  <c r="A8" i="25" l="1"/>
  <c r="A9" i="25" s="1"/>
  <c r="A10" i="25" s="1"/>
  <c r="A11" i="25" s="1"/>
  <c r="A12" i="25" s="1"/>
  <c r="A13" i="25" s="1"/>
  <c r="A14" i="25" s="1"/>
  <c r="A15" i="25" s="1"/>
  <c r="A5" i="25"/>
  <c r="C4" i="25"/>
  <c r="C2" i="25"/>
  <c r="A1" i="17"/>
  <c r="A1" i="15"/>
  <c r="C4" i="22"/>
  <c r="G2" i="22"/>
  <c r="C2" i="22"/>
  <c r="C4" i="21"/>
  <c r="G2" i="21"/>
  <c r="C2" i="21"/>
  <c r="A5" i="22"/>
  <c r="A5" i="21"/>
  <c r="E9" i="24"/>
  <c r="E8" i="24"/>
  <c r="E7" i="24"/>
  <c r="D9" i="24"/>
  <c r="D8" i="24"/>
  <c r="D7" i="24"/>
  <c r="A8" i="24"/>
  <c r="H12" i="22"/>
  <c r="A8" i="22"/>
  <c r="A9" i="22" s="1"/>
  <c r="A10" i="22" s="1"/>
  <c r="A11" i="22" s="1"/>
  <c r="A12" i="22" s="1"/>
  <c r="A13" i="22" s="1"/>
  <c r="A8" i="21"/>
  <c r="A9" i="21" s="1"/>
  <c r="A10" i="21" s="1"/>
  <c r="C8" i="24"/>
  <c r="C7" i="24"/>
  <c r="C9" i="24"/>
</calcChain>
</file>

<file path=xl/sharedStrings.xml><?xml version="1.0" encoding="utf-8"?>
<sst xmlns="http://schemas.openxmlformats.org/spreadsheetml/2006/main" count="1683" uniqueCount="349">
  <si>
    <t>スマブラツール</t>
    <phoneticPr fontId="2"/>
  </si>
  <si>
    <t>プレイヤー管理</t>
    <rPh sb="5" eb="7">
      <t>カンリ</t>
    </rPh>
    <phoneticPr fontId="2"/>
  </si>
  <si>
    <t>ルイージ</t>
  </si>
  <si>
    <t>ネス</t>
  </si>
  <si>
    <t>プリン</t>
  </si>
  <si>
    <t>クッパ</t>
  </si>
  <si>
    <t>アイスクライマー</t>
  </si>
  <si>
    <t>シーク</t>
  </si>
  <si>
    <t>ゼルダ</t>
  </si>
  <si>
    <t>ドクターマリオ</t>
  </si>
  <si>
    <t>ピチュー</t>
  </si>
  <si>
    <t>ファルコ</t>
  </si>
  <si>
    <t>マルス</t>
  </si>
  <si>
    <t>ルキナ</t>
  </si>
  <si>
    <t>こどもリンク</t>
  </si>
  <si>
    <t>ガノンドルフ</t>
  </si>
  <si>
    <t>ロイ</t>
  </si>
  <si>
    <t>クロム</t>
  </si>
  <si>
    <t>メタナイト</t>
  </si>
  <si>
    <t>ゼロスーツサムス</t>
  </si>
  <si>
    <t>ワリオ</t>
  </si>
  <si>
    <t>スネーク</t>
  </si>
  <si>
    <t>アイク</t>
  </si>
  <si>
    <t>ポケモントレーナー</t>
  </si>
  <si>
    <t>ディディーコング</t>
  </si>
  <si>
    <t>リュカ</t>
  </si>
  <si>
    <t>ソニック</t>
  </si>
  <si>
    <t>デデデ</t>
  </si>
  <si>
    <t>ピクミン＆オリマー</t>
  </si>
  <si>
    <t>ルカリオ</t>
  </si>
  <si>
    <t>ロボット</t>
  </si>
  <si>
    <t>トゥーンリンク</t>
  </si>
  <si>
    <t>ウルフ</t>
  </si>
  <si>
    <t>むらびと</t>
  </si>
  <si>
    <t>ロックマン</t>
  </si>
  <si>
    <t>Wii Fit トレーナー</t>
  </si>
  <si>
    <t>ロゼッタ＆チコ</t>
  </si>
  <si>
    <t>リトルマック</t>
  </si>
  <si>
    <t>ゲッコウガ</t>
  </si>
  <si>
    <t>格闘Mii</t>
  </si>
  <si>
    <t>剣術Mii</t>
  </si>
  <si>
    <t>射撃Mii</t>
  </si>
  <si>
    <t>パルテナ</t>
  </si>
  <si>
    <t>パックマン</t>
  </si>
  <si>
    <t>ルフレ</t>
  </si>
  <si>
    <t>シュルク</t>
  </si>
  <si>
    <t>クッパJr.</t>
  </si>
  <si>
    <t>ダックハント</t>
  </si>
  <si>
    <t>リュウ</t>
  </si>
  <si>
    <t>ケン</t>
  </si>
  <si>
    <t>クラウド</t>
  </si>
  <si>
    <t>カムイ</t>
  </si>
  <si>
    <t>ベヨネッタ</t>
  </si>
  <si>
    <t>インクリング</t>
  </si>
  <si>
    <t>リドリー</t>
  </si>
  <si>
    <t>キングクルール</t>
  </si>
  <si>
    <t>しずえ</t>
  </si>
  <si>
    <t>ガオガエン</t>
  </si>
  <si>
    <t>パックンフラワー</t>
  </si>
  <si>
    <t>ジョーカー</t>
  </si>
  <si>
    <t>勇者</t>
  </si>
  <si>
    <t>バンジョー＆カズーイ</t>
  </si>
  <si>
    <t>テリー</t>
  </si>
  <si>
    <t>ベレトス</t>
  </si>
  <si>
    <t>ミェンミェン</t>
  </si>
  <si>
    <t>スティーブ</t>
  </si>
  <si>
    <t>セフィロス</t>
  </si>
  <si>
    <t>ホムヒカ</t>
  </si>
  <si>
    <t>カズヤ</t>
  </si>
  <si>
    <t>ソラ</t>
  </si>
  <si>
    <t>マリオ</t>
  </si>
  <si>
    <t>ドンキーコング</t>
  </si>
  <si>
    <t>リンク</t>
  </si>
  <si>
    <t>カービィ</t>
  </si>
  <si>
    <t>フォックス</t>
  </si>
  <si>
    <t>ピカチュウ</t>
  </si>
  <si>
    <t>岩</t>
    <rPh sb="0" eb="1">
      <t>イワ</t>
    </rPh>
    <phoneticPr fontId="2"/>
  </si>
  <si>
    <t>金玉</t>
    <rPh sb="0" eb="1">
      <t>キン</t>
    </rPh>
    <rPh sb="1" eb="2">
      <t>タマ</t>
    </rPh>
    <phoneticPr fontId="2"/>
  </si>
  <si>
    <t>手越</t>
    <rPh sb="0" eb="2">
      <t>テゴシ</t>
    </rPh>
    <phoneticPr fontId="2"/>
  </si>
  <si>
    <t>犬</t>
    <rPh sb="0" eb="1">
      <t>イヌ</t>
    </rPh>
    <phoneticPr fontId="2"/>
  </si>
  <si>
    <t>剣</t>
    <rPh sb="0" eb="1">
      <t>ケン</t>
    </rPh>
    <phoneticPr fontId="2"/>
  </si>
  <si>
    <t>草</t>
    <rPh sb="0" eb="1">
      <t>クサ</t>
    </rPh>
    <phoneticPr fontId="2"/>
  </si>
  <si>
    <t>勇者</t>
    <rPh sb="0" eb="2">
      <t>ユウシャ</t>
    </rPh>
    <phoneticPr fontId="2"/>
  </si>
  <si>
    <t>黒</t>
    <rPh sb="0" eb="1">
      <t>クロ</t>
    </rPh>
    <phoneticPr fontId="2"/>
  </si>
  <si>
    <t>赤</t>
    <rPh sb="0" eb="1">
      <t>アカ</t>
    </rPh>
    <phoneticPr fontId="2"/>
  </si>
  <si>
    <t>青</t>
    <rPh sb="0" eb="1">
      <t>アオ</t>
    </rPh>
    <phoneticPr fontId="2"/>
  </si>
  <si>
    <t>紫</t>
    <rPh sb="0" eb="1">
      <t>ムラサキ</t>
    </rPh>
    <phoneticPr fontId="2"/>
  </si>
  <si>
    <t>黄</t>
    <rPh sb="0" eb="1">
      <t>キ</t>
    </rPh>
    <phoneticPr fontId="2"/>
  </si>
  <si>
    <t>DF</t>
    <phoneticPr fontId="2"/>
  </si>
  <si>
    <t>カービィ</t>
    <phoneticPr fontId="2"/>
  </si>
  <si>
    <t>ガノンドルフ</t>
    <phoneticPr fontId="2"/>
  </si>
  <si>
    <t>キャプテン・ファルコン</t>
    <phoneticPr fontId="2"/>
  </si>
  <si>
    <t>ミュウツー</t>
    <phoneticPr fontId="2"/>
  </si>
  <si>
    <t>VARCHAR</t>
  </si>
  <si>
    <t>○</t>
    <phoneticPr fontId="6"/>
  </si>
  <si>
    <t>初期値</t>
    <rPh sb="0" eb="3">
      <t>ショキチ</t>
    </rPh>
    <phoneticPr fontId="6"/>
  </si>
  <si>
    <t>必須</t>
    <rPh sb="0" eb="2">
      <t>ヒッス</t>
    </rPh>
    <phoneticPr fontId="6"/>
  </si>
  <si>
    <t>外部キー</t>
    <rPh sb="0" eb="2">
      <t>ガイブ</t>
    </rPh>
    <phoneticPr fontId="6"/>
  </si>
  <si>
    <t>主キー</t>
    <rPh sb="0" eb="1">
      <t>シュ</t>
    </rPh>
    <phoneticPr fontId="6"/>
  </si>
  <si>
    <t>データ長</t>
    <rPh sb="3" eb="4">
      <t>チョウ</t>
    </rPh>
    <phoneticPr fontId="6"/>
  </si>
  <si>
    <t>データ型</t>
    <rPh sb="3" eb="4">
      <t>ガタ</t>
    </rPh>
    <phoneticPr fontId="6"/>
  </si>
  <si>
    <t>列名</t>
    <rPh sb="0" eb="1">
      <t>レツ</t>
    </rPh>
    <rPh sb="1" eb="2">
      <t>メイ</t>
    </rPh>
    <phoneticPr fontId="6"/>
  </si>
  <si>
    <t>INTEGER</t>
    <phoneticPr fontId="2"/>
  </si>
  <si>
    <t>VARCHAR</t>
    <phoneticPr fontId="2"/>
  </si>
  <si>
    <t>○</t>
    <phoneticPr fontId="2"/>
  </si>
  <si>
    <t>シャゲミ</t>
  </si>
  <si>
    <t>テーブル定義</t>
    <rPh sb="4" eb="6">
      <t>テイギ</t>
    </rPh>
    <phoneticPr fontId="6"/>
  </si>
  <si>
    <t>備考</t>
    <rPh sb="0" eb="2">
      <t>ビコウ</t>
    </rPh>
    <phoneticPr fontId="2"/>
  </si>
  <si>
    <t>論理名</t>
    <rPh sb="0" eb="2">
      <t>ロンリ</t>
    </rPh>
    <rPh sb="2" eb="3">
      <t>メイ</t>
    </rPh>
    <phoneticPr fontId="2"/>
  </si>
  <si>
    <t>No</t>
    <phoneticPr fontId="6"/>
  </si>
  <si>
    <t>テーブル論理名</t>
    <rPh sb="4" eb="6">
      <t>ロンリ</t>
    </rPh>
    <rPh sb="6" eb="7">
      <t>メイ</t>
    </rPh>
    <phoneticPr fontId="6"/>
  </si>
  <si>
    <t>テーブル物理名</t>
    <rPh sb="4" eb="6">
      <t>ブツリ</t>
    </rPh>
    <rPh sb="6" eb="7">
      <t>メイ</t>
    </rPh>
    <phoneticPr fontId="6"/>
  </si>
  <si>
    <t>行動</t>
    <rPh sb="0" eb="2">
      <t>コウドウ</t>
    </rPh>
    <phoneticPr fontId="6"/>
  </si>
  <si>
    <t>DK</t>
  </si>
  <si>
    <t>サムス・ダークサムス</t>
  </si>
  <si>
    <t>ダムス</t>
  </si>
  <si>
    <t>ヨッシー</t>
  </si>
  <si>
    <t>CB</t>
  </si>
  <si>
    <t>FX</t>
  </si>
  <si>
    <t>ピカ</t>
  </si>
  <si>
    <t>L</t>
  </si>
  <si>
    <t>キャプテン・ファルコン</t>
  </si>
  <si>
    <t>CF</t>
  </si>
  <si>
    <t>ピーチ・デイジー</t>
  </si>
  <si>
    <t>ピチデ</t>
  </si>
  <si>
    <t>カメ</t>
  </si>
  <si>
    <t>アイクラ</t>
  </si>
  <si>
    <t>ドクマリ</t>
  </si>
  <si>
    <t>ヤンリン</t>
  </si>
  <si>
    <t>ガノン</t>
  </si>
  <si>
    <t>ミュウツー</t>
  </si>
  <si>
    <t>M2</t>
  </si>
  <si>
    <t>Mr.ゲーム&amp;ウォッチ</t>
  </si>
  <si>
    <t>ゲッチ</t>
  </si>
  <si>
    <t>メタ</t>
  </si>
  <si>
    <t>ピット・ブラックピット</t>
  </si>
  <si>
    <t>ブラピ</t>
  </si>
  <si>
    <t>ゼロサム</t>
  </si>
  <si>
    <t>ポケトレ</t>
  </si>
  <si>
    <t>DD</t>
  </si>
  <si>
    <t>DDD</t>
  </si>
  <si>
    <t>ピクオリ</t>
  </si>
  <si>
    <t>トリン</t>
  </si>
  <si>
    <t>フィットレ</t>
  </si>
  <si>
    <t>ロゼチコ</t>
  </si>
  <si>
    <t>リトマ</t>
  </si>
  <si>
    <t>ゲコ</t>
  </si>
  <si>
    <t>カクミ</t>
  </si>
  <si>
    <t>ケンミ</t>
  </si>
  <si>
    <t>パジュニ</t>
  </si>
  <si>
    <t>イカ</t>
  </si>
  <si>
    <t>シモン・リヒター</t>
  </si>
  <si>
    <t>シモリヒ</t>
  </si>
  <si>
    <t>キンクル</t>
  </si>
  <si>
    <t>ガエン</t>
  </si>
  <si>
    <t>J</t>
  </si>
  <si>
    <t>バンカズ</t>
  </si>
  <si>
    <t>メン</t>
  </si>
  <si>
    <t>編集不可</t>
    <rPh sb="0" eb="2">
      <t>ヘンシュウ</t>
    </rPh>
    <rPh sb="2" eb="4">
      <t>フカ</t>
    </rPh>
    <phoneticPr fontId="2"/>
  </si>
  <si>
    <t>現レート</t>
    <rPh sb="0" eb="1">
      <t>ゲン</t>
    </rPh>
    <phoneticPr fontId="6"/>
  </si>
  <si>
    <t>前回レート</t>
    <rPh sb="0" eb="2">
      <t>ゼンカイ</t>
    </rPh>
    <phoneticPr fontId="6"/>
  </si>
  <si>
    <t>前々回レート</t>
    <rPh sb="0" eb="3">
      <t>ゼンゼンカイ</t>
    </rPh>
    <phoneticPr fontId="6"/>
  </si>
  <si>
    <t>システム名</t>
    <phoneticPr fontId="2"/>
  </si>
  <si>
    <t>INTEGER</t>
  </si>
  <si>
    <t>-</t>
  </si>
  <si>
    <t>スキーマ</t>
    <phoneticPr fontId="2"/>
  </si>
  <si>
    <t>定義</t>
    <rPh sb="0" eb="2">
      <t>テイギ</t>
    </rPh>
    <phoneticPr fontId="6"/>
  </si>
  <si>
    <t>テーブル論理名</t>
    <rPh sb="4" eb="6">
      <t>ロンリ</t>
    </rPh>
    <rPh sb="6" eb="7">
      <t>メイ</t>
    </rPh>
    <phoneticPr fontId="2"/>
  </si>
  <si>
    <t>初期データ</t>
    <rPh sb="0" eb="2">
      <t>ショキ</t>
    </rPh>
    <phoneticPr fontId="6"/>
  </si>
  <si>
    <t>ファイターリスト</t>
    <phoneticPr fontId="2"/>
  </si>
  <si>
    <t>負数</t>
    <rPh sb="0" eb="1">
      <t>マ</t>
    </rPh>
    <rPh sb="1" eb="2">
      <t>スウ</t>
    </rPh>
    <phoneticPr fontId="2"/>
  </si>
  <si>
    <t>勝数</t>
    <rPh sb="0" eb="1">
      <t>カ</t>
    </rPh>
    <rPh sb="1" eb="2">
      <t>スウ</t>
    </rPh>
    <phoneticPr fontId="2"/>
  </si>
  <si>
    <t>対策</t>
    <rPh sb="0" eb="2">
      <t>タイサク</t>
    </rPh>
    <phoneticPr fontId="2"/>
  </si>
  <si>
    <t>8%は前投げ+空前が当たらない
ガード⇒掴み回避
○：空後、空前、下強
△：横強
復帰は帰ることに専念。上Bを使用しない。</t>
    <phoneticPr fontId="3"/>
  </si>
  <si>
    <t>0%：前投げ＋空前＋（反転）上強＋上スマ
30%：空N＋横強＋下強＋下強＋空下+下強＋下強＋横スマ70%：空N＋上強＋空上　or 2段ジャンプ空後
100%：【根本】空前（1段）＋横スマ　（困難）
100%：【先端】空前（1段）＋空後</t>
    <phoneticPr fontId="3"/>
  </si>
  <si>
    <t>　</t>
    <phoneticPr fontId="3"/>
  </si>
  <si>
    <t>初手：空前＋上強＋上強
中盤：コピー
終盤：上スマ</t>
    <rPh sb="0" eb="2">
      <t>ショテ</t>
    </rPh>
    <rPh sb="3" eb="4">
      <t>クウ</t>
    </rPh>
    <rPh sb="4" eb="5">
      <t>マエ</t>
    </rPh>
    <rPh sb="6" eb="7">
      <t>ウエ</t>
    </rPh>
    <rPh sb="7" eb="8">
      <t>ツヨ</t>
    </rPh>
    <rPh sb="9" eb="10">
      <t>ウエ</t>
    </rPh>
    <rPh sb="10" eb="11">
      <t>ツヨ</t>
    </rPh>
    <rPh sb="12" eb="14">
      <t>チュウバン</t>
    </rPh>
    <rPh sb="19" eb="21">
      <t>シュウバン</t>
    </rPh>
    <rPh sb="22" eb="23">
      <t>ウエ</t>
    </rPh>
    <phoneticPr fontId="3"/>
  </si>
  <si>
    <t xml:space="preserve">16%までは前投げ+空前が当たらない
ステージ上で戦闘
常に空後、空Nでけん制
避け：下回避
終盤：吸い込み掃き出し
</t>
    <rPh sb="6" eb="7">
      <t>マエ</t>
    </rPh>
    <rPh sb="7" eb="8">
      <t>ナ</t>
    </rPh>
    <rPh sb="10" eb="11">
      <t>クウ</t>
    </rPh>
    <rPh sb="11" eb="12">
      <t>マエ</t>
    </rPh>
    <rPh sb="13" eb="14">
      <t>ア</t>
    </rPh>
    <rPh sb="23" eb="24">
      <t>ジョウ</t>
    </rPh>
    <rPh sb="25" eb="27">
      <t>セントウ</t>
    </rPh>
    <rPh sb="40" eb="41">
      <t>ヨ</t>
    </rPh>
    <rPh sb="43" eb="44">
      <t>シタ</t>
    </rPh>
    <rPh sb="44" eb="46">
      <t>カイヒ</t>
    </rPh>
    <rPh sb="48" eb="50">
      <t>シュウバン</t>
    </rPh>
    <rPh sb="51" eb="52">
      <t>ス</t>
    </rPh>
    <rPh sb="53" eb="54">
      <t>コ</t>
    </rPh>
    <rPh sb="55" eb="56">
      <t>ハ</t>
    </rPh>
    <rPh sb="57" eb="58">
      <t>ダ</t>
    </rPh>
    <phoneticPr fontId="3"/>
  </si>
  <si>
    <t>3%は前投げ+空前が当たらない
ダッシュガード
初手：掴み回避 → 空N
後半：ガード</t>
    <rPh sb="24" eb="26">
      <t>ショテ</t>
    </rPh>
    <rPh sb="27" eb="28">
      <t>ツカ</t>
    </rPh>
    <rPh sb="29" eb="31">
      <t>カイヒ</t>
    </rPh>
    <rPh sb="34" eb="35">
      <t>クウ</t>
    </rPh>
    <rPh sb="37" eb="39">
      <t>コウハン</t>
    </rPh>
    <phoneticPr fontId="3"/>
  </si>
  <si>
    <t>走って掴むことをしない
ガード
下強
引き降り空N</t>
    <rPh sb="0" eb="1">
      <t>ハシ</t>
    </rPh>
    <rPh sb="3" eb="4">
      <t>ツカ</t>
    </rPh>
    <rPh sb="16" eb="17">
      <t>シタ</t>
    </rPh>
    <rPh sb="17" eb="18">
      <t>ツヨ</t>
    </rPh>
    <rPh sb="19" eb="20">
      <t>ヒ</t>
    </rPh>
    <rPh sb="21" eb="22">
      <t>オ</t>
    </rPh>
    <phoneticPr fontId="3"/>
  </si>
  <si>
    <t>3%は前投げ+空前が当たらない
下強</t>
    <rPh sb="16" eb="17">
      <t>シタ</t>
    </rPh>
    <rPh sb="17" eb="18">
      <t>ツヨ</t>
    </rPh>
    <phoneticPr fontId="3"/>
  </si>
  <si>
    <t>低い位置の空中攻撃オンパレードでけん制
空前、DA
撃墜：ディレイ空後</t>
    <rPh sb="0" eb="1">
      <t>ヒク</t>
    </rPh>
    <rPh sb="2" eb="4">
      <t>イチ</t>
    </rPh>
    <rPh sb="5" eb="7">
      <t>クウチュウ</t>
    </rPh>
    <rPh sb="7" eb="9">
      <t>コウゲキ</t>
    </rPh>
    <rPh sb="18" eb="19">
      <t>セイ</t>
    </rPh>
    <rPh sb="20" eb="21">
      <t>クウ</t>
    </rPh>
    <rPh sb="21" eb="22">
      <t>マエ</t>
    </rPh>
    <rPh sb="26" eb="28">
      <t>ゲキツイ</t>
    </rPh>
    <rPh sb="33" eb="34">
      <t>クウ</t>
    </rPh>
    <rPh sb="34" eb="35">
      <t>ゴ</t>
    </rPh>
    <phoneticPr fontId="3"/>
  </si>
  <si>
    <t>3%までは前投げ+空前が当たらない
序盤：歩きガード
（ステップ禁止）
降り空N、空前、下強、上強</t>
    <rPh sb="18" eb="20">
      <t>ジョバン</t>
    </rPh>
    <rPh sb="21" eb="22">
      <t>アル</t>
    </rPh>
    <rPh sb="32" eb="34">
      <t>キンシ</t>
    </rPh>
    <rPh sb="36" eb="37">
      <t>オ</t>
    </rPh>
    <rPh sb="38" eb="39">
      <t>クウ</t>
    </rPh>
    <rPh sb="41" eb="42">
      <t>クウ</t>
    </rPh>
    <rPh sb="42" eb="43">
      <t>マエ</t>
    </rPh>
    <rPh sb="44" eb="45">
      <t>シタ</t>
    </rPh>
    <rPh sb="45" eb="46">
      <t>ツヨ</t>
    </rPh>
    <rPh sb="47" eb="48">
      <t>ウエ</t>
    </rPh>
    <rPh sb="48" eb="49">
      <t>ツヨ</t>
    </rPh>
    <phoneticPr fontId="3"/>
  </si>
  <si>
    <t>しゃがみ
初手：掴み回避
中盤：空中読み回避
撃墜：ガード</t>
    <rPh sb="5" eb="7">
      <t>ショテ</t>
    </rPh>
    <rPh sb="8" eb="9">
      <t>ツカ</t>
    </rPh>
    <rPh sb="10" eb="12">
      <t>カイヒ</t>
    </rPh>
    <rPh sb="13" eb="15">
      <t>チュウバン</t>
    </rPh>
    <rPh sb="16" eb="18">
      <t>クウチュウ</t>
    </rPh>
    <rPh sb="18" eb="19">
      <t>ヨ</t>
    </rPh>
    <rPh sb="20" eb="22">
      <t>カイヒ</t>
    </rPh>
    <rPh sb="23" eb="25">
      <t>ゲキツイ</t>
    </rPh>
    <phoneticPr fontId="3"/>
  </si>
  <si>
    <t>3%までは前投げ+空前が当たらない
ガード</t>
    <phoneticPr fontId="3"/>
  </si>
  <si>
    <t>ガード長（コピー推奨）
浮遊している時は無視で</t>
    <rPh sb="3" eb="4">
      <t>ナガ</t>
    </rPh>
    <rPh sb="8" eb="10">
      <t>スイショウ</t>
    </rPh>
    <rPh sb="12" eb="14">
      <t>フユウ</t>
    </rPh>
    <rPh sb="18" eb="19">
      <t>トキ</t>
    </rPh>
    <rPh sb="20" eb="22">
      <t>ムシ</t>
    </rPh>
    <phoneticPr fontId="3"/>
  </si>
  <si>
    <t>ガード待機は危険</t>
    <rPh sb="3" eb="5">
      <t>タイキ</t>
    </rPh>
    <rPh sb="6" eb="8">
      <t>キケン</t>
    </rPh>
    <phoneticPr fontId="3"/>
  </si>
  <si>
    <t>斜め下は危険</t>
    <rPh sb="0" eb="1">
      <t>ナナ</t>
    </rPh>
    <rPh sb="2" eb="3">
      <t>シタ</t>
    </rPh>
    <rPh sb="4" eb="6">
      <t>キケン</t>
    </rPh>
    <phoneticPr fontId="3"/>
  </si>
  <si>
    <t>空中待機でガン攻め
地上はガードしない。
コピー</t>
    <rPh sb="0" eb="2">
      <t>クウチュウ</t>
    </rPh>
    <rPh sb="2" eb="4">
      <t>タイキ</t>
    </rPh>
    <rPh sb="7" eb="8">
      <t>ゼ</t>
    </rPh>
    <rPh sb="10" eb="12">
      <t>チジョウ</t>
    </rPh>
    <phoneticPr fontId="3"/>
  </si>
  <si>
    <t>3%までは前投げ+空前が当たらない</t>
    <phoneticPr fontId="3"/>
  </si>
  <si>
    <t>強攻撃は当たらないので振らない
ガン攻め１歩手前待ち
空前/空後</t>
    <rPh sb="0" eb="1">
      <t>ツヨ</t>
    </rPh>
    <rPh sb="1" eb="3">
      <t>コウゲキ</t>
    </rPh>
    <rPh sb="4" eb="5">
      <t>ア</t>
    </rPh>
    <rPh sb="11" eb="12">
      <t>フ</t>
    </rPh>
    <rPh sb="18" eb="19">
      <t>ゼ</t>
    </rPh>
    <rPh sb="21" eb="22">
      <t>ポ</t>
    </rPh>
    <rPh sb="22" eb="24">
      <t>テマエ</t>
    </rPh>
    <rPh sb="24" eb="25">
      <t>マ</t>
    </rPh>
    <rPh sb="27" eb="28">
      <t>クウ</t>
    </rPh>
    <rPh sb="28" eb="29">
      <t>マエ</t>
    </rPh>
    <rPh sb="30" eb="31">
      <t>クウ</t>
    </rPh>
    <rPh sb="31" eb="32">
      <t>ゴ</t>
    </rPh>
    <phoneticPr fontId="3"/>
  </si>
  <si>
    <t>真ん中待機
初手：下強＋空前
強攻撃　＋　空前　
下強　＋　空N
復帰阻止は少しだけ
コピーもありかもしれない</t>
    <rPh sb="0" eb="1">
      <t>マ</t>
    </rPh>
    <rPh sb="2" eb="3">
      <t>ナカ</t>
    </rPh>
    <rPh sb="3" eb="5">
      <t>タイキ</t>
    </rPh>
    <rPh sb="6" eb="8">
      <t>ショテ</t>
    </rPh>
    <rPh sb="9" eb="10">
      <t>シタ</t>
    </rPh>
    <rPh sb="10" eb="11">
      <t>ツヨ</t>
    </rPh>
    <rPh sb="12" eb="13">
      <t>クウ</t>
    </rPh>
    <rPh sb="13" eb="14">
      <t>マエ</t>
    </rPh>
    <rPh sb="15" eb="16">
      <t>ツヨシ</t>
    </rPh>
    <rPh sb="16" eb="18">
      <t>コウゲキ</t>
    </rPh>
    <rPh sb="21" eb="22">
      <t>クウ</t>
    </rPh>
    <rPh sb="22" eb="23">
      <t>マエ</t>
    </rPh>
    <rPh sb="25" eb="26">
      <t>シタ</t>
    </rPh>
    <rPh sb="26" eb="27">
      <t>ツヨ</t>
    </rPh>
    <rPh sb="30" eb="31">
      <t>クウ</t>
    </rPh>
    <rPh sb="33" eb="35">
      <t>フッキ</t>
    </rPh>
    <rPh sb="35" eb="37">
      <t>ソシ</t>
    </rPh>
    <rPh sb="38" eb="39">
      <t>スコ</t>
    </rPh>
    <phoneticPr fontId="3"/>
  </si>
  <si>
    <t xml:space="preserve">初回：引き行動
地上で相手が来るのを待つ
（１歩上がって2歩下がる）
ガード＋掴み回避
</t>
    <rPh sb="0" eb="2">
      <t>ショカイ</t>
    </rPh>
    <rPh sb="3" eb="4">
      <t>ヒ</t>
    </rPh>
    <rPh sb="5" eb="7">
      <t>コウドウ</t>
    </rPh>
    <rPh sb="9" eb="11">
      <t>チジョウ</t>
    </rPh>
    <rPh sb="12" eb="14">
      <t>アイテ</t>
    </rPh>
    <rPh sb="15" eb="16">
      <t>ク</t>
    </rPh>
    <rPh sb="19" eb="20">
      <t>マ</t>
    </rPh>
    <rPh sb="24" eb="25">
      <t>ポ</t>
    </rPh>
    <rPh sb="25" eb="26">
      <t>ア</t>
    </rPh>
    <rPh sb="30" eb="31">
      <t>ホ</t>
    </rPh>
    <rPh sb="31" eb="32">
      <t>サ</t>
    </rPh>
    <rPh sb="40" eb="41">
      <t>ツカ</t>
    </rPh>
    <rPh sb="42" eb="44">
      <t>カイヒ</t>
    </rPh>
    <phoneticPr fontId="3"/>
  </si>
  <si>
    <t>引かない
撃墜：上スマ　　　　　　　　　　　　　　　　　　　　　　　　　　　　</t>
    <rPh sb="0" eb="1">
      <t>ヒ</t>
    </rPh>
    <rPh sb="5" eb="7">
      <t>ゲキツイ</t>
    </rPh>
    <rPh sb="8" eb="9">
      <t>ウエ</t>
    </rPh>
    <phoneticPr fontId="3"/>
  </si>
  <si>
    <t>しゃがみ姿勢
・上強・下強・吸い込み
・引き空前</t>
    <rPh sb="4" eb="6">
      <t>シセイ</t>
    </rPh>
    <rPh sb="8" eb="9">
      <t>ウエ</t>
    </rPh>
    <rPh sb="9" eb="10">
      <t>ツヨ</t>
    </rPh>
    <rPh sb="11" eb="12">
      <t>シタ</t>
    </rPh>
    <rPh sb="12" eb="13">
      <t>ツヨ</t>
    </rPh>
    <rPh sb="14" eb="15">
      <t>ス</t>
    </rPh>
    <rPh sb="16" eb="17">
      <t>コ</t>
    </rPh>
    <rPh sb="20" eb="21">
      <t>ヒ</t>
    </rPh>
    <rPh sb="22" eb="23">
      <t>クウ</t>
    </rPh>
    <rPh sb="23" eb="24">
      <t>マエ</t>
    </rPh>
    <phoneticPr fontId="3"/>
  </si>
  <si>
    <t>上強＋下強</t>
    <rPh sb="0" eb="1">
      <t>ウエ</t>
    </rPh>
    <rPh sb="1" eb="2">
      <t>ツヨ</t>
    </rPh>
    <rPh sb="3" eb="4">
      <t>シタ</t>
    </rPh>
    <rPh sb="4" eb="5">
      <t>ツヨ</t>
    </rPh>
    <phoneticPr fontId="3"/>
  </si>
  <si>
    <t>コピーして崖上狩り
下強＋上強
２回ジャンプ
擦られている時は弱攻撃？</t>
    <rPh sb="5" eb="6">
      <t>ガケ</t>
    </rPh>
    <rPh sb="6" eb="7">
      <t>ウエ</t>
    </rPh>
    <rPh sb="7" eb="8">
      <t>ガ</t>
    </rPh>
    <rPh sb="10" eb="11">
      <t>シタ</t>
    </rPh>
    <rPh sb="11" eb="12">
      <t>ツヨ</t>
    </rPh>
    <rPh sb="13" eb="14">
      <t>ウエ</t>
    </rPh>
    <rPh sb="14" eb="15">
      <t>ツヨ</t>
    </rPh>
    <rPh sb="17" eb="18">
      <t>カイ</t>
    </rPh>
    <rPh sb="23" eb="24">
      <t>コス</t>
    </rPh>
    <rPh sb="29" eb="30">
      <t>トキ</t>
    </rPh>
    <rPh sb="31" eb="32">
      <t>ジャク</t>
    </rPh>
    <rPh sb="32" eb="34">
      <t>コウゲキ</t>
    </rPh>
    <phoneticPr fontId="3"/>
  </si>
  <si>
    <t>奥読み</t>
    <rPh sb="0" eb="1">
      <t>オク</t>
    </rPh>
    <rPh sb="1" eb="2">
      <t>ヨ</t>
    </rPh>
    <phoneticPr fontId="3"/>
  </si>
  <si>
    <t>ガード＋掴み回避
DAは絶対に振ってはいけない。</t>
    <rPh sb="4" eb="5">
      <t>ツカ</t>
    </rPh>
    <rPh sb="6" eb="8">
      <t>カイヒ</t>
    </rPh>
    <rPh sb="12" eb="14">
      <t>ゼッタイ</t>
    </rPh>
    <rPh sb="15" eb="16">
      <t>フ</t>
    </rPh>
    <phoneticPr fontId="3"/>
  </si>
  <si>
    <t>対空の判定が強いので
地上で下強＋上強
上スマ</t>
    <rPh sb="0" eb="2">
      <t>タイクウ</t>
    </rPh>
    <rPh sb="3" eb="5">
      <t>ハンテイ</t>
    </rPh>
    <rPh sb="6" eb="7">
      <t>ツヨ</t>
    </rPh>
    <rPh sb="11" eb="13">
      <t>チジョウ</t>
    </rPh>
    <rPh sb="14" eb="15">
      <t>シタ</t>
    </rPh>
    <rPh sb="15" eb="16">
      <t>ツヨ</t>
    </rPh>
    <rPh sb="17" eb="18">
      <t>ウエ</t>
    </rPh>
    <rPh sb="18" eb="19">
      <t>ツヨ</t>
    </rPh>
    <rPh sb="20" eb="21">
      <t>ウエウエツヨ</t>
    </rPh>
    <phoneticPr fontId="3"/>
  </si>
  <si>
    <t>ガード掴み
掴み回避</t>
    <rPh sb="3" eb="4">
      <t>ツカ</t>
    </rPh>
    <rPh sb="6" eb="7">
      <t>ツカ</t>
    </rPh>
    <rPh sb="8" eb="10">
      <t>カイヒ</t>
    </rPh>
    <phoneticPr fontId="3"/>
  </si>
  <si>
    <t>ジャンプ禁止
コピーして崖上狩り
近づかない。
ガーキャン掴み
ガード長め</t>
    <phoneticPr fontId="3"/>
  </si>
  <si>
    <t>ガード⇒掴み回避
危険：上スマの発生が速いので不用意に近づかない</t>
    <rPh sb="4" eb="5">
      <t>ツカ</t>
    </rPh>
    <rPh sb="6" eb="8">
      <t>カイヒ</t>
    </rPh>
    <rPh sb="10" eb="12">
      <t>キケン</t>
    </rPh>
    <rPh sb="13" eb="14">
      <t>ウエ</t>
    </rPh>
    <rPh sb="17" eb="19">
      <t>ハッセイ</t>
    </rPh>
    <rPh sb="20" eb="21">
      <t>ハヤ</t>
    </rPh>
    <rPh sb="24" eb="27">
      <t>フヨウイ</t>
    </rPh>
    <rPh sb="28" eb="29">
      <t>チカ</t>
    </rPh>
    <phoneticPr fontId="3"/>
  </si>
  <si>
    <t>0%は前投げ+空前が
当たらない</t>
    <phoneticPr fontId="3"/>
  </si>
  <si>
    <t>空N、DA、上強
ガード＋外回避</t>
    <rPh sb="0" eb="1">
      <t>クウ</t>
    </rPh>
    <rPh sb="6" eb="7">
      <t>ウエ</t>
    </rPh>
    <rPh sb="7" eb="8">
      <t>ツヨ</t>
    </rPh>
    <rPh sb="13" eb="14">
      <t>ソト</t>
    </rPh>
    <rPh sb="14" eb="16">
      <t>カイヒ</t>
    </rPh>
    <phoneticPr fontId="3"/>
  </si>
  <si>
    <t>ガード長め
その場上り、空前上り
空N、上B</t>
    <rPh sb="3" eb="4">
      <t>ナガ</t>
    </rPh>
    <rPh sb="8" eb="9">
      <t>バ</t>
    </rPh>
    <rPh sb="9" eb="10">
      <t>アガ</t>
    </rPh>
    <rPh sb="12" eb="13">
      <t>クウ</t>
    </rPh>
    <rPh sb="13" eb="14">
      <t>マエ</t>
    </rPh>
    <rPh sb="14" eb="15">
      <t>アガ</t>
    </rPh>
    <phoneticPr fontId="3"/>
  </si>
  <si>
    <t>ガード長、掴まれたらレバガチャ
空上＋空上＋空前＋空上</t>
    <rPh sb="3" eb="4">
      <t>ナガ</t>
    </rPh>
    <rPh sb="5" eb="6">
      <t>ツカ</t>
    </rPh>
    <rPh sb="17" eb="18">
      <t>クウ</t>
    </rPh>
    <rPh sb="18" eb="19">
      <t>ウエ</t>
    </rPh>
    <rPh sb="20" eb="21">
      <t>クウ</t>
    </rPh>
    <rPh sb="21" eb="22">
      <t>ウエ</t>
    </rPh>
    <rPh sb="23" eb="24">
      <t>クウ</t>
    </rPh>
    <rPh sb="24" eb="25">
      <t>マエ</t>
    </rPh>
    <rPh sb="26" eb="27">
      <t>クウ</t>
    </rPh>
    <rPh sb="27" eb="28">
      <t>ウエ</t>
    </rPh>
    <phoneticPr fontId="3"/>
  </si>
  <si>
    <t xml:space="preserve">遠ざかれないように一定の距離を保ちつつ上強
防御：ガード＋掴み回避
攻撃：空上＋横強＋下強
空中暴れしない
</t>
    <rPh sb="22" eb="24">
      <t>ボウギョ</t>
    </rPh>
    <rPh sb="29" eb="30">
      <t>ツカ</t>
    </rPh>
    <rPh sb="31" eb="33">
      <t>カイヒ</t>
    </rPh>
    <rPh sb="34" eb="36">
      <t>コウゲキ</t>
    </rPh>
    <rPh sb="37" eb="38">
      <t>クウ</t>
    </rPh>
    <rPh sb="38" eb="39">
      <t>ウエ</t>
    </rPh>
    <rPh sb="40" eb="41">
      <t>ヨコ</t>
    </rPh>
    <rPh sb="41" eb="42">
      <t>ツヨ</t>
    </rPh>
    <rPh sb="43" eb="44">
      <t>シタ</t>
    </rPh>
    <rPh sb="44" eb="45">
      <t>ツヨ</t>
    </rPh>
    <rPh sb="46" eb="48">
      <t>クウチュウ</t>
    </rPh>
    <rPh sb="48" eb="49">
      <t>アバ</t>
    </rPh>
    <phoneticPr fontId="3"/>
  </si>
  <si>
    <t>空N
ガーキャン掴み
崖近くの復帰は危険（玉が当たる）</t>
    <rPh sb="0" eb="1">
      <t>クウ</t>
    </rPh>
    <rPh sb="8" eb="9">
      <t>ツカ</t>
    </rPh>
    <rPh sb="12" eb="13">
      <t>ガケ</t>
    </rPh>
    <rPh sb="13" eb="14">
      <t>チカ</t>
    </rPh>
    <rPh sb="16" eb="18">
      <t>フッキ</t>
    </rPh>
    <rPh sb="19" eb="21">
      <t>キケン</t>
    </rPh>
    <rPh sb="22" eb="23">
      <t>タマ</t>
    </rPh>
    <rPh sb="24" eb="25">
      <t>ア</t>
    </rPh>
    <phoneticPr fontId="3"/>
  </si>
  <si>
    <t>空中で待機</t>
    <rPh sb="0" eb="2">
      <t>クウチュウ</t>
    </rPh>
    <rPh sb="3" eb="5">
      <t>タイキ</t>
    </rPh>
    <phoneticPr fontId="3"/>
  </si>
  <si>
    <t>ガード＋掴み回避
空中暴れしない
遠ざかれないように一定の距離を保ちつつ上強</t>
    <rPh sb="4" eb="5">
      <t>ツカ</t>
    </rPh>
    <rPh sb="6" eb="8">
      <t>カイヒ</t>
    </rPh>
    <rPh sb="9" eb="11">
      <t>クウチュウ</t>
    </rPh>
    <rPh sb="11" eb="12">
      <t>アバ</t>
    </rPh>
    <rPh sb="17" eb="18">
      <t>トオ</t>
    </rPh>
    <rPh sb="26" eb="28">
      <t>イッテイ</t>
    </rPh>
    <rPh sb="29" eb="31">
      <t>キョリ</t>
    </rPh>
    <rPh sb="32" eb="33">
      <t>タモ</t>
    </rPh>
    <rPh sb="36" eb="37">
      <t>ウエ</t>
    </rPh>
    <rPh sb="37" eb="38">
      <t>ツヨ</t>
    </rPh>
    <phoneticPr fontId="3"/>
  </si>
  <si>
    <t>ステップ防御</t>
    <rPh sb="4" eb="6">
      <t>ボウギョ</t>
    </rPh>
    <phoneticPr fontId="3"/>
  </si>
  <si>
    <t>掴み回避
ガード</t>
    <rPh sb="0" eb="1">
      <t>ツカ</t>
    </rPh>
    <rPh sb="2" eb="4">
      <t>カイヒ</t>
    </rPh>
    <phoneticPr fontId="3"/>
  </si>
  <si>
    <t>初段：急降下空N、急降下空下、コピー
強攻撃は当たらないので控えめ
対空リーチが強いので早めに技を振るか逃げるに徹する。
撃墜はなるべく早く横スマや上スマをパナス</t>
    <rPh sb="0" eb="2">
      <t>ショダン</t>
    </rPh>
    <rPh sb="3" eb="6">
      <t>キュウコウカ</t>
    </rPh>
    <rPh sb="6" eb="7">
      <t>クウ</t>
    </rPh>
    <rPh sb="19" eb="20">
      <t>ツヨ</t>
    </rPh>
    <rPh sb="20" eb="22">
      <t>コウゲキ</t>
    </rPh>
    <rPh sb="23" eb="24">
      <t>ア</t>
    </rPh>
    <rPh sb="30" eb="31">
      <t>ヒカ</t>
    </rPh>
    <rPh sb="35" eb="37">
      <t>タイクウ</t>
    </rPh>
    <rPh sb="41" eb="42">
      <t>ツヨ</t>
    </rPh>
    <rPh sb="45" eb="46">
      <t>ハヤ</t>
    </rPh>
    <rPh sb="48" eb="49">
      <t>ワザ</t>
    </rPh>
    <rPh sb="50" eb="51">
      <t>フ</t>
    </rPh>
    <rPh sb="53" eb="54">
      <t>ニ</t>
    </rPh>
    <rPh sb="57" eb="58">
      <t>テッ</t>
    </rPh>
    <rPh sb="62" eb="64">
      <t>ゲキツイ</t>
    </rPh>
    <rPh sb="69" eb="70">
      <t>ハヤ</t>
    </rPh>
    <rPh sb="71" eb="72">
      <t>ヨコ</t>
    </rPh>
    <rPh sb="75" eb="76">
      <t>ウエ</t>
    </rPh>
    <phoneticPr fontId="3"/>
  </si>
  <si>
    <t>捨てげー（着地狩りできない）
犬の目の前で引き空前
空上＋空前</t>
    <rPh sb="0" eb="1">
      <t>ス</t>
    </rPh>
    <rPh sb="15" eb="16">
      <t>イヌ</t>
    </rPh>
    <rPh sb="17" eb="18">
      <t>メ</t>
    </rPh>
    <rPh sb="19" eb="20">
      <t>マエ</t>
    </rPh>
    <rPh sb="21" eb="22">
      <t>ヒ</t>
    </rPh>
    <rPh sb="23" eb="24">
      <t>クウ</t>
    </rPh>
    <rPh sb="24" eb="25">
      <t>マエ</t>
    </rPh>
    <rPh sb="27" eb="28">
      <t>クウ</t>
    </rPh>
    <rPh sb="28" eb="29">
      <t>ウエ</t>
    </rPh>
    <rPh sb="30" eb="31">
      <t>クウ</t>
    </rPh>
    <rPh sb="31" eb="32">
      <t>マエ</t>
    </rPh>
    <phoneticPr fontId="3"/>
  </si>
  <si>
    <r>
      <rPr>
        <sz val="8"/>
        <rFont val="ＭＳ Ｐゴシック"/>
        <family val="3"/>
        <charset val="128"/>
      </rPr>
      <t>掴めません</t>
    </r>
    <r>
      <rPr>
        <sz val="8"/>
        <color theme="1"/>
        <rFont val="ＭＳ Ｐゴシック"/>
        <family val="3"/>
        <charset val="128"/>
      </rPr>
      <t xml:space="preserve">
反転上強＋DA
下強＋空前
崖外に出ないで動かずガード安定。
（崖狩りが強いので難しい）</t>
    </r>
    <rPh sb="0" eb="1">
      <t>ツカ</t>
    </rPh>
    <rPh sb="6" eb="8">
      <t>ハンテン</t>
    </rPh>
    <rPh sb="8" eb="9">
      <t>ウエ</t>
    </rPh>
    <rPh sb="9" eb="10">
      <t>ツヨ</t>
    </rPh>
    <rPh sb="14" eb="15">
      <t>シタ</t>
    </rPh>
    <rPh sb="15" eb="16">
      <t>ツヨ</t>
    </rPh>
    <rPh sb="17" eb="18">
      <t>クウ</t>
    </rPh>
    <rPh sb="18" eb="19">
      <t>マエ</t>
    </rPh>
    <rPh sb="21" eb="22">
      <t>ガケ</t>
    </rPh>
    <rPh sb="22" eb="23">
      <t>ソト</t>
    </rPh>
    <rPh sb="24" eb="25">
      <t>デ</t>
    </rPh>
    <rPh sb="28" eb="29">
      <t>ウゴ</t>
    </rPh>
    <rPh sb="34" eb="36">
      <t>アンテイ</t>
    </rPh>
    <rPh sb="39" eb="40">
      <t>ガケ</t>
    </rPh>
    <rPh sb="40" eb="41">
      <t>ガ</t>
    </rPh>
    <rPh sb="43" eb="44">
      <t>ツヨ</t>
    </rPh>
    <rPh sb="47" eb="48">
      <t>ムズカ</t>
    </rPh>
    <phoneticPr fontId="3"/>
  </si>
  <si>
    <t>地上付近の空中攻撃
下強
掴み＋空下</t>
    <rPh sb="0" eb="2">
      <t>チジョウ</t>
    </rPh>
    <rPh sb="2" eb="4">
      <t>フキン</t>
    </rPh>
    <rPh sb="5" eb="7">
      <t>クウチュウ</t>
    </rPh>
    <rPh sb="7" eb="9">
      <t>コウゲキ</t>
    </rPh>
    <rPh sb="10" eb="11">
      <t>シタ</t>
    </rPh>
    <rPh sb="11" eb="12">
      <t>ツヨ</t>
    </rPh>
    <rPh sb="13" eb="14">
      <t>ツカ</t>
    </rPh>
    <rPh sb="16" eb="17">
      <t>クウ</t>
    </rPh>
    <rPh sb="17" eb="18">
      <t>シタ</t>
    </rPh>
    <phoneticPr fontId="3"/>
  </si>
  <si>
    <t>しゃがみ＋ガード</t>
    <phoneticPr fontId="3"/>
  </si>
  <si>
    <t>防御 + 掴み
Y軸ずらし（外ずらし）
ジャンプは隙になるので控える
（特に相手が崖につかまってるとき）</t>
    <rPh sb="0" eb="2">
      <t>ボウギョ</t>
    </rPh>
    <rPh sb="5" eb="6">
      <t>ツカ</t>
    </rPh>
    <rPh sb="9" eb="10">
      <t>ジク</t>
    </rPh>
    <rPh sb="14" eb="15">
      <t>ソト</t>
    </rPh>
    <rPh sb="25" eb="26">
      <t>スキ</t>
    </rPh>
    <rPh sb="31" eb="32">
      <t>ヒカ</t>
    </rPh>
    <rPh sb="36" eb="37">
      <t>トク</t>
    </rPh>
    <rPh sb="38" eb="40">
      <t>アイテ</t>
    </rPh>
    <rPh sb="41" eb="42">
      <t>ガケ</t>
    </rPh>
    <phoneticPr fontId="3"/>
  </si>
  <si>
    <t>空上＋空N</t>
    <rPh sb="0" eb="1">
      <t>クウ</t>
    </rPh>
    <rPh sb="1" eb="2">
      <t>ウエ</t>
    </rPh>
    <rPh sb="3" eb="4">
      <t>クウ</t>
    </rPh>
    <phoneticPr fontId="3"/>
  </si>
  <si>
    <t>地上戦
下強＋弱か上強で暴れる
（しゃがみ）
ガードしない
空中：その場回避、下回避</t>
    <rPh sb="0" eb="2">
      <t>チジョウ</t>
    </rPh>
    <rPh sb="2" eb="3">
      <t>セン</t>
    </rPh>
    <rPh sb="4" eb="5">
      <t>シタ</t>
    </rPh>
    <rPh sb="5" eb="6">
      <t>ツヨ</t>
    </rPh>
    <rPh sb="7" eb="8">
      <t>ジャク</t>
    </rPh>
    <rPh sb="9" eb="10">
      <t>ウエ</t>
    </rPh>
    <rPh sb="10" eb="11">
      <t>ツヨ</t>
    </rPh>
    <rPh sb="12" eb="13">
      <t>アバ</t>
    </rPh>
    <rPh sb="30" eb="32">
      <t>クウチュウ</t>
    </rPh>
    <rPh sb="35" eb="36">
      <t>バ</t>
    </rPh>
    <rPh sb="36" eb="38">
      <t>カイヒ</t>
    </rPh>
    <rPh sb="39" eb="40">
      <t>シタ</t>
    </rPh>
    <rPh sb="40" eb="42">
      <t>カイヒ</t>
    </rPh>
    <phoneticPr fontId="3"/>
  </si>
  <si>
    <t>不用意に近づかない
ガード</t>
    <rPh sb="0" eb="3">
      <t>フヨウイ</t>
    </rPh>
    <rPh sb="4" eb="5">
      <t>チカ</t>
    </rPh>
    <phoneticPr fontId="3"/>
  </si>
  <si>
    <t>コピー
ガード短め
ジャンプ</t>
    <rPh sb="7" eb="8">
      <t>ミジカ</t>
    </rPh>
    <phoneticPr fontId="3"/>
  </si>
  <si>
    <t>崖から必ず戻るようにする（着地狩りが優秀）
上強</t>
    <rPh sb="0" eb="1">
      <t>ガケ</t>
    </rPh>
    <rPh sb="3" eb="4">
      <t>カナラ</t>
    </rPh>
    <rPh sb="5" eb="6">
      <t>モド</t>
    </rPh>
    <rPh sb="13" eb="15">
      <t>チャクチ</t>
    </rPh>
    <rPh sb="15" eb="16">
      <t>ガ</t>
    </rPh>
    <rPh sb="18" eb="20">
      <t>ユウシュウ</t>
    </rPh>
    <rPh sb="22" eb="23">
      <t>ウエ</t>
    </rPh>
    <rPh sb="23" eb="24">
      <t>ツヨ</t>
    </rPh>
    <phoneticPr fontId="3"/>
  </si>
  <si>
    <t>ガードしない
引き空前＋空下</t>
    <rPh sb="7" eb="8">
      <t>ヒ</t>
    </rPh>
    <rPh sb="9" eb="10">
      <t>クウ</t>
    </rPh>
    <rPh sb="10" eb="11">
      <t>マエ</t>
    </rPh>
    <rPh sb="12" eb="13">
      <t>クウ</t>
    </rPh>
    <rPh sb="13" eb="14">
      <t>シタ</t>
    </rPh>
    <phoneticPr fontId="3"/>
  </si>
  <si>
    <t xml:space="preserve">アルセイヌ中スマッシュ禁止
掴み回避多め
ガン攻め
</t>
    <rPh sb="5" eb="6">
      <t>チュウ</t>
    </rPh>
    <rPh sb="11" eb="13">
      <t>キンシ</t>
    </rPh>
    <rPh sb="14" eb="15">
      <t>ツカ</t>
    </rPh>
    <rPh sb="16" eb="18">
      <t>カイヒ</t>
    </rPh>
    <rPh sb="18" eb="19">
      <t>オオ</t>
    </rPh>
    <rPh sb="23" eb="24">
      <t>ゼ</t>
    </rPh>
    <phoneticPr fontId="3"/>
  </si>
  <si>
    <t>コピー有
空下＋空前
撃墜：空後</t>
    <rPh sb="3" eb="4">
      <t>アリ</t>
    </rPh>
    <rPh sb="5" eb="6">
      <t>クウ</t>
    </rPh>
    <rPh sb="6" eb="7">
      <t>シタ</t>
    </rPh>
    <rPh sb="8" eb="9">
      <t>クウ</t>
    </rPh>
    <rPh sb="9" eb="10">
      <t>マエ</t>
    </rPh>
    <rPh sb="11" eb="13">
      <t>ゲキツイ</t>
    </rPh>
    <rPh sb="14" eb="15">
      <t>クウ</t>
    </rPh>
    <rPh sb="15" eb="16">
      <t>ゴ</t>
    </rPh>
    <phoneticPr fontId="3"/>
  </si>
  <si>
    <t>ガン攻め（爆弾生成の隙を与えない）</t>
    <rPh sb="2" eb="3">
      <t>ゼ</t>
    </rPh>
    <rPh sb="5" eb="7">
      <t>バクダン</t>
    </rPh>
    <rPh sb="7" eb="9">
      <t>セイセイ</t>
    </rPh>
    <rPh sb="10" eb="11">
      <t>スキ</t>
    </rPh>
    <rPh sb="12" eb="13">
      <t>アタ</t>
    </rPh>
    <phoneticPr fontId="3"/>
  </si>
  <si>
    <t>ガード長め、先端の戦い
無理に空前打たない。反転上強＋下強
着地は遠目で
投げは無理（掴めない）
横回避＋弱攻撃</t>
    <rPh sb="3" eb="4">
      <t>ナガ</t>
    </rPh>
    <rPh sb="6" eb="8">
      <t>センタン</t>
    </rPh>
    <rPh sb="9" eb="10">
      <t>タタカ</t>
    </rPh>
    <rPh sb="12" eb="14">
      <t>ムリ</t>
    </rPh>
    <rPh sb="15" eb="16">
      <t>クウ</t>
    </rPh>
    <rPh sb="16" eb="17">
      <t>マエ</t>
    </rPh>
    <rPh sb="17" eb="18">
      <t>ウ</t>
    </rPh>
    <rPh sb="22" eb="24">
      <t>ハンテン</t>
    </rPh>
    <rPh sb="24" eb="25">
      <t>ウエ</t>
    </rPh>
    <rPh sb="25" eb="26">
      <t>ツヨ</t>
    </rPh>
    <rPh sb="27" eb="28">
      <t>シタ</t>
    </rPh>
    <rPh sb="28" eb="29">
      <t>ツヨ</t>
    </rPh>
    <rPh sb="30" eb="32">
      <t>チャクチ</t>
    </rPh>
    <rPh sb="33" eb="35">
      <t>トオメ</t>
    </rPh>
    <rPh sb="37" eb="38">
      <t>ナ</t>
    </rPh>
    <rPh sb="40" eb="42">
      <t>ムリ</t>
    </rPh>
    <rPh sb="43" eb="44">
      <t>ツカ</t>
    </rPh>
    <phoneticPr fontId="3"/>
  </si>
  <si>
    <t>下強＋上強+空前</t>
    <rPh sb="0" eb="1">
      <t>シタ</t>
    </rPh>
    <rPh sb="1" eb="2">
      <t>ツヨ</t>
    </rPh>
    <rPh sb="3" eb="4">
      <t>ウエ</t>
    </rPh>
    <rPh sb="4" eb="5">
      <t>ツヨ</t>
    </rPh>
    <rPh sb="6" eb="7">
      <t>クウ</t>
    </rPh>
    <rPh sb="7" eb="8">
      <t>マエ</t>
    </rPh>
    <phoneticPr fontId="3"/>
  </si>
  <si>
    <t>引きステップ、引きジャンプ
⇒弱攻撃連打（内側横回避）</t>
    <phoneticPr fontId="3"/>
  </si>
  <si>
    <t xml:space="preserve">奥読み、近づいたら引く
無理して攻撃せずガン攻め下強チクチク攻撃
初手：ガード
終盤：掴み回避、
→撃墜：空N＋透かし空上＋空後
→撃墜：復帰阻止ストーン
→撃墜：横回避＋下スマ
→撃墜：ディレイ空N＋空上
</t>
    <rPh sb="0" eb="1">
      <t>オク</t>
    </rPh>
    <rPh sb="1" eb="2">
      <t>ヨ</t>
    </rPh>
    <rPh sb="4" eb="5">
      <t>チカ</t>
    </rPh>
    <rPh sb="9" eb="10">
      <t>ヒ</t>
    </rPh>
    <rPh sb="33" eb="35">
      <t>ショテ</t>
    </rPh>
    <rPh sb="40" eb="42">
      <t>シュウバン</t>
    </rPh>
    <rPh sb="43" eb="44">
      <t>ツカ</t>
    </rPh>
    <rPh sb="45" eb="47">
      <t>カイヒツカカイヒ</t>
    </rPh>
    <rPh sb="50" eb="52">
      <t>ゲキツイ</t>
    </rPh>
    <rPh sb="53" eb="54">
      <t>クウ</t>
    </rPh>
    <rPh sb="56" eb="57">
      <t>ス</t>
    </rPh>
    <rPh sb="59" eb="60">
      <t>クウ</t>
    </rPh>
    <rPh sb="60" eb="61">
      <t>ウエ</t>
    </rPh>
    <rPh sb="62" eb="63">
      <t>クウ</t>
    </rPh>
    <rPh sb="63" eb="64">
      <t>ゴ</t>
    </rPh>
    <rPh sb="66" eb="68">
      <t>ゲキツイ</t>
    </rPh>
    <rPh sb="69" eb="71">
      <t>フッキ</t>
    </rPh>
    <rPh sb="71" eb="73">
      <t>ソシ</t>
    </rPh>
    <rPh sb="79" eb="81">
      <t>ゲキツイ</t>
    </rPh>
    <rPh sb="82" eb="83">
      <t>ヨコ</t>
    </rPh>
    <rPh sb="83" eb="85">
      <t>カイヒ</t>
    </rPh>
    <rPh sb="86" eb="87">
      <t>シタ</t>
    </rPh>
    <rPh sb="98" eb="99">
      <t>クウ</t>
    </rPh>
    <rPh sb="101" eb="102">
      <t>クウ</t>
    </rPh>
    <rPh sb="102" eb="103">
      <t>ウエ</t>
    </rPh>
    <phoneticPr fontId="3"/>
  </si>
  <si>
    <t>ステップ禁止、空後、直当て上強
空前、ガーキャン掴み、空前＋上強</t>
    <rPh sb="4" eb="6">
      <t>キンシ</t>
    </rPh>
    <rPh sb="7" eb="8">
      <t>クウ</t>
    </rPh>
    <rPh sb="8" eb="9">
      <t>ゴ</t>
    </rPh>
    <rPh sb="10" eb="11">
      <t>チョク</t>
    </rPh>
    <rPh sb="11" eb="12">
      <t>ア</t>
    </rPh>
    <rPh sb="13" eb="14">
      <t>ウエ</t>
    </rPh>
    <rPh sb="14" eb="15">
      <t>ツヨ</t>
    </rPh>
    <rPh sb="16" eb="17">
      <t>クウ</t>
    </rPh>
    <rPh sb="17" eb="18">
      <t>マエ</t>
    </rPh>
    <rPh sb="24" eb="25">
      <t>ツカ</t>
    </rPh>
    <rPh sb="27" eb="28">
      <t>クウ</t>
    </rPh>
    <rPh sb="28" eb="29">
      <t>マエ</t>
    </rPh>
    <rPh sb="30" eb="31">
      <t>ウエ</t>
    </rPh>
    <rPh sb="31" eb="32">
      <t>ツヨ</t>
    </rPh>
    <phoneticPr fontId="3"/>
  </si>
  <si>
    <t>ガード、下強
先端当て、掴み回避
崖上は真ん中待機
Y軸禁止</t>
    <rPh sb="4" eb="5">
      <t>シタ</t>
    </rPh>
    <rPh sb="5" eb="6">
      <t>ツヨシ</t>
    </rPh>
    <rPh sb="7" eb="9">
      <t>センタン</t>
    </rPh>
    <rPh sb="9" eb="10">
      <t>ア</t>
    </rPh>
    <rPh sb="12" eb="13">
      <t>ツカ</t>
    </rPh>
    <rPh sb="14" eb="16">
      <t>カイヒ</t>
    </rPh>
    <rPh sb="17" eb="18">
      <t>ガケ</t>
    </rPh>
    <rPh sb="18" eb="19">
      <t>ウエ</t>
    </rPh>
    <rPh sb="20" eb="21">
      <t>マ</t>
    </rPh>
    <rPh sb="22" eb="23">
      <t>ナカ</t>
    </rPh>
    <rPh sb="23" eb="25">
      <t>タイキ</t>
    </rPh>
    <rPh sb="27" eb="28">
      <t>ジク</t>
    </rPh>
    <rPh sb="28" eb="30">
      <t>キンシ</t>
    </rPh>
    <phoneticPr fontId="3"/>
  </si>
  <si>
    <t>コピー有</t>
    <rPh sb="3" eb="4">
      <t>アリ</t>
    </rPh>
    <phoneticPr fontId="3"/>
  </si>
  <si>
    <t>○：横強、上B</t>
    <rPh sb="2" eb="3">
      <t>ヨコ</t>
    </rPh>
    <rPh sb="3" eb="4">
      <t>ツヨ</t>
    </rPh>
    <rPh sb="5" eb="6">
      <t>ウエ</t>
    </rPh>
    <phoneticPr fontId="3"/>
  </si>
  <si>
    <t>○：横B、横強
×：空N</t>
    <rPh sb="2" eb="3">
      <t>ヨコ</t>
    </rPh>
    <rPh sb="5" eb="6">
      <t>ヨコ</t>
    </rPh>
    <rPh sb="6" eb="7">
      <t>ツヨ</t>
    </rPh>
    <rPh sb="10" eb="11">
      <t>クウ</t>
    </rPh>
    <phoneticPr fontId="3"/>
  </si>
  <si>
    <t>×：復帰阻止</t>
  </si>
  <si>
    <t>○：横B、空上
×：空N</t>
    <rPh sb="2" eb="3">
      <t>ヨコ</t>
    </rPh>
    <rPh sb="5" eb="6">
      <t>クウ</t>
    </rPh>
    <rPh sb="6" eb="7">
      <t>ウエ</t>
    </rPh>
    <rPh sb="10" eb="11">
      <t>クウ</t>
    </rPh>
    <phoneticPr fontId="3"/>
  </si>
  <si>
    <t>○：上B
×：膝</t>
    <rPh sb="2" eb="3">
      <t>ウエ</t>
    </rPh>
    <rPh sb="7" eb="8">
      <t>ヒザ</t>
    </rPh>
    <phoneticPr fontId="3"/>
  </si>
  <si>
    <t>○：地上差し込み
×：空中差し込み</t>
    <rPh sb="2" eb="4">
      <t>チジョウ</t>
    </rPh>
    <rPh sb="4" eb="5">
      <t>サ</t>
    </rPh>
    <rPh sb="6" eb="7">
      <t>コ</t>
    </rPh>
    <rPh sb="11" eb="13">
      <t>クウチュウ</t>
    </rPh>
    <rPh sb="13" eb="14">
      <t>サ</t>
    </rPh>
    <rPh sb="15" eb="16">
      <t>コ</t>
    </rPh>
    <phoneticPr fontId="3"/>
  </si>
  <si>
    <t>絶対に勝てない。諦めて待ってろ</t>
  </si>
  <si>
    <t>○：飛ばない、置き技、引き行動
×：空下、空中から近づくこと</t>
    <rPh sb="2" eb="3">
      <t>ト</t>
    </rPh>
    <rPh sb="7" eb="8">
      <t>オ</t>
    </rPh>
    <rPh sb="9" eb="10">
      <t>ワザ</t>
    </rPh>
    <rPh sb="11" eb="12">
      <t>ヒ</t>
    </rPh>
    <rPh sb="13" eb="15">
      <t>コウドウ</t>
    </rPh>
    <rPh sb="18" eb="19">
      <t>クウ</t>
    </rPh>
    <rPh sb="19" eb="20">
      <t>シタ</t>
    </rPh>
    <rPh sb="21" eb="23">
      <t>クウチュウ</t>
    </rPh>
    <rPh sb="25" eb="26">
      <t>チカ</t>
    </rPh>
    <phoneticPr fontId="3"/>
  </si>
  <si>
    <t>○：横強、下強、上B（基本は攻めたら負け）
×：前に飛ぶな。</t>
  </si>
  <si>
    <t>○：空上、降り空N
×：着地暴れ</t>
    <phoneticPr fontId="3"/>
  </si>
  <si>
    <t>○：上B、下スマ、空N、横B
△：空後、空前</t>
    <phoneticPr fontId="3"/>
  </si>
  <si>
    <t>○：スマッシュ全般
×：上B</t>
    <phoneticPr fontId="3"/>
  </si>
  <si>
    <t>○：スマッシュ、空後、空N、弱
×：横B</t>
    <phoneticPr fontId="3"/>
  </si>
  <si>
    <t>空Nが当たりません
ダメージ：近づいて降り空上？、滑り横強、弱
撃墜：スマッシュ
レッキャクなら少し近づく動作してから打たないと当たってくれない。</t>
    <phoneticPr fontId="3"/>
  </si>
  <si>
    <t>近づいてはいけない。
○；弱、れっき、DA、空下
△：横B、空N</t>
    <phoneticPr fontId="3"/>
  </si>
  <si>
    <t>不利
基本勝てないのでバカになろう。（スマッシュわっふぉい）</t>
    <phoneticPr fontId="3"/>
  </si>
  <si>
    <t>○：ガード掴み、れっき、空上
△：空N、下強</t>
    <phoneticPr fontId="3"/>
  </si>
  <si>
    <t>○：空N</t>
  </si>
  <si>
    <t>崖上ガーキャン弱・横強、降り空N
上スマ</t>
    <phoneticPr fontId="3"/>
  </si>
  <si>
    <t>○：掴み回避、下強
×：ジャンプ</t>
    <phoneticPr fontId="3"/>
  </si>
  <si>
    <t>基本勝てないので真面目に戦わないこと</t>
  </si>
  <si>
    <t>超不利
上スマぶんぶん
空下ぶんぶん</t>
    <phoneticPr fontId="3"/>
  </si>
  <si>
    <t>崖上空後、横スマ、横B、ブリザガ</t>
    <phoneticPr fontId="3"/>
  </si>
  <si>
    <t>降り空上、空N</t>
    <phoneticPr fontId="3"/>
  </si>
  <si>
    <t>注意して空N、空後で刺し返すのは有り</t>
  </si>
  <si>
    <t>崖上ガード、空後、横スマ</t>
    <phoneticPr fontId="3"/>
  </si>
  <si>
    <t>相手は基本、DAとシャドボでガン待ち
飛び道具負けしているので
スマッシュ多めで
コンボ中に魔法
掴みが通る。</t>
    <phoneticPr fontId="3"/>
  </si>
  <si>
    <t>○：空N、ガーキャン上B
△：下強、横B、横強</t>
    <phoneticPr fontId="3"/>
  </si>
  <si>
    <t>微不利
○：横強、下強
△：ジャンプ、空N（必ず引きジャンプすること）</t>
    <phoneticPr fontId="3"/>
  </si>
  <si>
    <t>空中ジャンプ注意
○：弱(弱一段止め）
△：空N</t>
    <phoneticPr fontId="3"/>
  </si>
  <si>
    <t>魔法、NBを擦る</t>
    <phoneticPr fontId="3"/>
  </si>
  <si>
    <t>○：NB、上スマ、下スマ
×：横強</t>
  </si>
  <si>
    <t>横B、上スマ、横スマ</t>
  </si>
  <si>
    <t>○：NB、横B</t>
  </si>
  <si>
    <t>少し不利
○：掴み、空N、空前、空後
×：横強、空上、下強、カウンター</t>
  </si>
  <si>
    <t>○：NB+掴み、横B
横スマ
△：カウンター</t>
  </si>
  <si>
    <t>相手が着地している時は、ガードするといい</t>
    <rPh sb="0" eb="2">
      <t>アイテ</t>
    </rPh>
    <rPh sb="3" eb="5">
      <t>チャクチ</t>
    </rPh>
    <rPh sb="9" eb="10">
      <t>トキ</t>
    </rPh>
    <phoneticPr fontId="3"/>
  </si>
  <si>
    <t>有利：崖待機に近づかず横Bでけん制
○：NB、横B、空上、掴み</t>
  </si>
  <si>
    <t>○：カウンター、空上、空N、弱
×：横B</t>
  </si>
  <si>
    <t>微不利：気を付けて戦おう。無理そうなら下スマ連打で
○：弱
△：空N</t>
  </si>
  <si>
    <t>○：横Bで回復させるモーションを入れさせる。、掴み、空下
降り空前
△：空N
撃墜：上スマ、下スマ</t>
  </si>
  <si>
    <t>○：崖降り空N、弱、掴み、スマッシュ、空上、空下
△：空N、横強、空前、横B</t>
  </si>
  <si>
    <t>○：降り空上、空N、NB
△：横B</t>
  </si>
  <si>
    <t>○：横B、掴み、弱、降り空N
△：空N（上り）、空前、空上、DA</t>
  </si>
  <si>
    <t>○：空上、空N
△：上スマ、横強</t>
  </si>
  <si>
    <t>○：NB</t>
  </si>
  <si>
    <t>○：横B、横スマ
△：空N</t>
  </si>
  <si>
    <t>空Nに対してはしっかりまでちゃんとガードする。
○：投げ＋空上</t>
  </si>
  <si>
    <t>検索用</t>
    <rPh sb="0" eb="3">
      <t>ケンサクヨウ</t>
    </rPh>
    <phoneticPr fontId="2"/>
  </si>
  <si>
    <t>表示用</t>
    <rPh sb="0" eb="3">
      <t>ヒョウジヨウ</t>
    </rPh>
    <phoneticPr fontId="2"/>
  </si>
  <si>
    <t>改行有</t>
    <rPh sb="0" eb="2">
      <t>カイギョウ</t>
    </rPh>
    <rPh sb="2" eb="3">
      <t>アリ</t>
    </rPh>
    <phoneticPr fontId="2"/>
  </si>
  <si>
    <t>改行有</t>
    <phoneticPr fontId="2"/>
  </si>
  <si>
    <t>CREATE(○)</t>
    <phoneticPr fontId="6"/>
  </si>
  <si>
    <t>sumabura</t>
    <phoneticPr fontId="2"/>
  </si>
  <si>
    <t>番号</t>
    <rPh sb="0" eb="2">
      <t>バンゴウ</t>
    </rPh>
    <phoneticPr fontId="6"/>
  </si>
  <si>
    <t>名前</t>
    <rPh sb="0" eb="2">
      <t>ナマエ</t>
    </rPh>
    <phoneticPr fontId="2"/>
  </si>
  <si>
    <t>略称</t>
    <rPh sb="0" eb="2">
      <t>リャクショウ</t>
    </rPh>
    <phoneticPr fontId="2"/>
  </si>
  <si>
    <t>win</t>
    <phoneticPr fontId="2"/>
  </si>
  <si>
    <t>loss</t>
    <phoneticPr fontId="2"/>
  </si>
  <si>
    <t>taisaku</t>
    <phoneticPr fontId="2"/>
  </si>
  <si>
    <t>改行有</t>
    <rPh sb="0" eb="2">
      <t>カイギョウ</t>
    </rPh>
    <rPh sb="2" eb="3">
      <t>ア</t>
    </rPh>
    <phoneticPr fontId="2"/>
  </si>
  <si>
    <t>色</t>
    <rPh sb="0" eb="1">
      <t>イロ</t>
    </rPh>
    <phoneticPr fontId="2"/>
  </si>
  <si>
    <t>ソラ</t>
    <phoneticPr fontId="2"/>
  </si>
  <si>
    <t>パルテナ</t>
    <phoneticPr fontId="2"/>
  </si>
  <si>
    <t>勝敗管理</t>
    <rPh sb="0" eb="2">
      <t>ショウハイ</t>
    </rPh>
    <rPh sb="2" eb="4">
      <t>カンリ</t>
    </rPh>
    <phoneticPr fontId="2"/>
  </si>
  <si>
    <t>INDEX</t>
    <phoneticPr fontId="2"/>
  </si>
  <si>
    <t>fColor</t>
    <phoneticPr fontId="2"/>
  </si>
  <si>
    <t>相手番号</t>
    <rPh sb="0" eb="2">
      <t>アイテ</t>
    </rPh>
    <rPh sb="2" eb="4">
      <t>バンゴウ</t>
    </rPh>
    <phoneticPr fontId="6"/>
  </si>
  <si>
    <t>相手名前</t>
    <rPh sb="2" eb="4">
      <t>ナマエ</t>
    </rPh>
    <phoneticPr fontId="2"/>
  </si>
  <si>
    <t>相手略称</t>
    <rPh sb="2" eb="4">
      <t>リャクショウ</t>
    </rPh>
    <phoneticPr fontId="2"/>
  </si>
  <si>
    <t>自分略称</t>
    <rPh sb="0" eb="2">
      <t>ジブン</t>
    </rPh>
    <rPh sb="2" eb="4">
      <t>リャクショウ</t>
    </rPh>
    <phoneticPr fontId="2"/>
  </si>
  <si>
    <t>自分名前</t>
    <rPh sb="2" eb="4">
      <t>ナマエ</t>
    </rPh>
    <phoneticPr fontId="2"/>
  </si>
  <si>
    <t>自分番号</t>
    <rPh sb="2" eb="4">
      <t>バンゴウ</t>
    </rPh>
    <phoneticPr fontId="2"/>
  </si>
  <si>
    <t>#ffff00</t>
    <phoneticPr fontId="2"/>
  </si>
  <si>
    <t>#0000ff</t>
    <phoneticPr fontId="2"/>
  </si>
  <si>
    <t>#800080</t>
    <phoneticPr fontId="2"/>
  </si>
  <si>
    <t>＜カラー補足＞</t>
    <rPh sb="4" eb="6">
      <t>ホソク</t>
    </rPh>
    <phoneticPr fontId="2"/>
  </si>
  <si>
    <t>#ff0000</t>
    <phoneticPr fontId="2"/>
  </si>
  <si>
    <t>#696969</t>
    <phoneticPr fontId="2"/>
  </si>
  <si>
    <t>#ffffff</t>
    <phoneticPr fontId="2"/>
  </si>
  <si>
    <t>#ffa500</t>
    <phoneticPr fontId="2"/>
  </si>
  <si>
    <t>橙</t>
    <phoneticPr fontId="2"/>
  </si>
  <si>
    <t>https://www.youtube.com/watch?v=iXuAX68PTBM&amp;ab_channel=TAKERACHANNEL</t>
  </si>
  <si>
    <t>小足＋中足
＜遠距離＞
波動拳：反対方向から下回りで打ちたい方向向ける
竜巻旋風脚：逆方向に下から向ける。
＜撃墜＞
空後
昇竜拳：最風と一緒</t>
    <rPh sb="0" eb="2">
      <t>コアシ</t>
    </rPh>
    <rPh sb="3" eb="4">
      <t>チュウ</t>
    </rPh>
    <rPh sb="4" eb="5">
      <t>アシ</t>
    </rPh>
    <rPh sb="8" eb="11">
      <t>エンキョリ</t>
    </rPh>
    <rPh sb="13" eb="16">
      <t>ハドウケン</t>
    </rPh>
    <rPh sb="17" eb="19">
      <t>ハンタイ</t>
    </rPh>
    <rPh sb="19" eb="21">
      <t>ホウコウ</t>
    </rPh>
    <rPh sb="23" eb="25">
      <t>シタマワ</t>
    </rPh>
    <rPh sb="27" eb="28">
      <t>ウ</t>
    </rPh>
    <rPh sb="31" eb="33">
      <t>ホウコウ</t>
    </rPh>
    <rPh sb="33" eb="34">
      <t>ム</t>
    </rPh>
    <rPh sb="37" eb="39">
      <t>タツマキ</t>
    </rPh>
    <rPh sb="39" eb="41">
      <t>センプウ</t>
    </rPh>
    <rPh sb="41" eb="42">
      <t>キャク</t>
    </rPh>
    <rPh sb="43" eb="44">
      <t>ギャク</t>
    </rPh>
    <rPh sb="44" eb="46">
      <t>ホウコウ</t>
    </rPh>
    <rPh sb="47" eb="48">
      <t>シタ</t>
    </rPh>
    <rPh sb="50" eb="51">
      <t>ム</t>
    </rPh>
    <rPh sb="57" eb="59">
      <t>ゲキツイ</t>
    </rPh>
    <rPh sb="61" eb="62">
      <t>クウ</t>
    </rPh>
    <rPh sb="62" eb="63">
      <t>ゴ</t>
    </rPh>
    <rPh sb="64" eb="66">
      <t>ショウリュウ</t>
    </rPh>
    <rPh sb="66" eb="67">
      <t>ケン</t>
    </rPh>
    <rPh sb="68" eb="69">
      <t>サイ</t>
    </rPh>
    <rPh sb="69" eb="70">
      <t>フウ</t>
    </rPh>
    <rPh sb="71" eb="73">
      <t>イッショ</t>
    </rPh>
    <phoneticPr fontId="2"/>
  </si>
  <si>
    <t>下投げ＋横スマ
クラフトボックスの移動：ガード＋B</t>
    <rPh sb="0" eb="1">
      <t>シタ</t>
    </rPh>
    <rPh sb="1" eb="2">
      <t>ナ</t>
    </rPh>
    <rPh sb="4" eb="5">
      <t>ヨコ</t>
    </rPh>
    <rPh sb="17" eb="19">
      <t>イドウ</t>
    </rPh>
    <phoneticPr fontId="2"/>
  </si>
  <si>
    <t>https://www.youtube.com/watch?v=I-bY_JeuNrc&amp;ab_channel=%E3%83%8A%E3%82%AC%E3%83%AC</t>
  </si>
  <si>
    <t>https://www.youtube.com/watch?v=rl1utxXeiUA&amp;ab_channel=%E3%82%B9%E3%83%9E%E3%83%96%E3%83%A9%E3%82%AF%E3%83%A9%E3%83%95%E3%83%88</t>
  </si>
  <si>
    <t>https://www.youtube.com/watch?v=0x3KLo8QPe8&amp;ab_channel=Raito%E3%81%AE%E3%82%B9%E3%83%9E%E3%83%96%E3%83%A9%E7%94%9F%E6%B4%BB</t>
  </si>
  <si>
    <t>中距離時：PKF、空前、横強（基本、前に飛ばないように）
密着時：下強、空N、弱
撃墜：PKS、投げ、PKF（基本、復帰阻止）
※スマッシュは当たらないので基本使わない。</t>
    <rPh sb="0" eb="3">
      <t>チュウキョリ</t>
    </rPh>
    <rPh sb="3" eb="4">
      <t>ジ</t>
    </rPh>
    <rPh sb="9" eb="10">
      <t>クウ</t>
    </rPh>
    <rPh sb="10" eb="11">
      <t>マエ</t>
    </rPh>
    <rPh sb="12" eb="13">
      <t>ヨコ</t>
    </rPh>
    <rPh sb="13" eb="14">
      <t>ツヨ</t>
    </rPh>
    <rPh sb="15" eb="17">
      <t>キホン</t>
    </rPh>
    <rPh sb="18" eb="19">
      <t>マエ</t>
    </rPh>
    <rPh sb="20" eb="21">
      <t>ト</t>
    </rPh>
    <rPh sb="29" eb="31">
      <t>ミッチャク</t>
    </rPh>
    <rPh sb="31" eb="32">
      <t>ジ</t>
    </rPh>
    <rPh sb="33" eb="34">
      <t>シタ</t>
    </rPh>
    <rPh sb="34" eb="35">
      <t>ツヨ</t>
    </rPh>
    <rPh sb="36" eb="37">
      <t>クウ</t>
    </rPh>
    <rPh sb="39" eb="40">
      <t>ジャク</t>
    </rPh>
    <rPh sb="42" eb="44">
      <t>ゲキツイ</t>
    </rPh>
    <rPh sb="49" eb="50">
      <t>ナ</t>
    </rPh>
    <rPh sb="56" eb="58">
      <t>キホン</t>
    </rPh>
    <rPh sb="59" eb="61">
      <t>フッキ</t>
    </rPh>
    <rPh sb="61" eb="63">
      <t>ソシ</t>
    </rPh>
    <rPh sb="72" eb="73">
      <t>ア</t>
    </rPh>
    <rPh sb="79" eb="81">
      <t>キホン</t>
    </rPh>
    <rPh sb="81" eb="82">
      <t>ツカ</t>
    </rPh>
    <phoneticPr fontId="2"/>
  </si>
  <si>
    <t>〇：下強、空前、れっき
×：空N、横B</t>
    <rPh sb="2" eb="3">
      <t>シタ</t>
    </rPh>
    <rPh sb="3" eb="4">
      <t>ツヨ</t>
    </rPh>
    <rPh sb="5" eb="6">
      <t>クウ</t>
    </rPh>
    <rPh sb="6" eb="7">
      <t>マエ</t>
    </rPh>
    <rPh sb="14" eb="15">
      <t>クウ</t>
    </rPh>
    <rPh sb="17" eb="18">
      <t>ヨコ</t>
    </rPh>
    <phoneticPr fontId="2"/>
  </si>
  <si>
    <t>〇：空前、空N
×：空下</t>
    <rPh sb="2" eb="3">
      <t>クウ</t>
    </rPh>
    <rPh sb="3" eb="4">
      <t>マエ</t>
    </rPh>
    <rPh sb="5" eb="6">
      <t>クウ</t>
    </rPh>
    <rPh sb="10" eb="11">
      <t>クウ</t>
    </rPh>
    <rPh sb="11" eb="12">
      <t>シタ</t>
    </rPh>
    <phoneticPr fontId="2"/>
  </si>
  <si>
    <t>黄色</t>
    <rPh sb="0" eb="2">
      <t>キイロ</t>
    </rPh>
    <phoneticPr fontId="2"/>
  </si>
  <si>
    <t>白</t>
    <rPh sb="0" eb="1">
      <t>シロ</t>
    </rPh>
    <phoneticPr fontId="2"/>
  </si>
  <si>
    <t>金</t>
    <rPh sb="0" eb="1">
      <t>キン</t>
    </rPh>
    <phoneticPr fontId="2"/>
  </si>
  <si>
    <t>アレックス</t>
    <phoneticPr fontId="2"/>
  </si>
  <si>
    <t>赤色</t>
    <rPh sb="0" eb="2">
      <t>アカイロ</t>
    </rPh>
    <phoneticPr fontId="2"/>
  </si>
  <si>
    <t xml:space="preserve">中距離を保ち続ける。（地上戦が多い）
コマのタイミング（焦らし）
地上：前ステ下強、前ステ掴み、DA、横強
空中：空N＋空前
頻繁：コマ、下強、空前
空N、空後は置き技
横Bはあんまり降らない。
</t>
    <rPh sb="0" eb="3">
      <t>チュウキョリ</t>
    </rPh>
    <rPh sb="4" eb="5">
      <t>タモ</t>
    </rPh>
    <rPh sb="6" eb="7">
      <t>ツヅ</t>
    </rPh>
    <rPh sb="11" eb="13">
      <t>チジョウ</t>
    </rPh>
    <rPh sb="13" eb="14">
      <t>セン</t>
    </rPh>
    <rPh sb="15" eb="16">
      <t>オオ</t>
    </rPh>
    <rPh sb="28" eb="29">
      <t>ジ</t>
    </rPh>
    <rPh sb="33" eb="35">
      <t>チジョウ</t>
    </rPh>
    <rPh sb="36" eb="37">
      <t>マエ</t>
    </rPh>
    <rPh sb="39" eb="40">
      <t>シタ</t>
    </rPh>
    <rPh sb="40" eb="41">
      <t>ツヨ</t>
    </rPh>
    <rPh sb="42" eb="43">
      <t>マエ</t>
    </rPh>
    <rPh sb="45" eb="46">
      <t>ツカ</t>
    </rPh>
    <rPh sb="51" eb="52">
      <t>ヨコ</t>
    </rPh>
    <rPh sb="52" eb="53">
      <t>ツヨ</t>
    </rPh>
    <rPh sb="54" eb="56">
      <t>クウチュウ</t>
    </rPh>
    <rPh sb="57" eb="58">
      <t>クウ</t>
    </rPh>
    <rPh sb="60" eb="61">
      <t>クウ</t>
    </rPh>
    <rPh sb="61" eb="62">
      <t>マエ</t>
    </rPh>
    <rPh sb="64" eb="66">
      <t>ヒンパン</t>
    </rPh>
    <rPh sb="70" eb="71">
      <t>シタ</t>
    </rPh>
    <rPh sb="71" eb="72">
      <t>ツヨシ</t>
    </rPh>
    <rPh sb="73" eb="74">
      <t>クウ</t>
    </rPh>
    <rPh sb="74" eb="75">
      <t>マエ</t>
    </rPh>
    <rPh sb="76" eb="77">
      <t>クウ</t>
    </rPh>
    <rPh sb="79" eb="80">
      <t>クウ</t>
    </rPh>
    <rPh sb="80" eb="81">
      <t>ゴ</t>
    </rPh>
    <rPh sb="82" eb="83">
      <t>オ</t>
    </rPh>
    <rPh sb="84" eb="85">
      <t>ワザ</t>
    </rPh>
    <rPh sb="86" eb="87">
      <t>ヨコ</t>
    </rPh>
    <rPh sb="93" eb="94">
      <t>フ</t>
    </rPh>
    <phoneticPr fontId="2"/>
  </si>
  <si>
    <t>急降下回避
弱、横強、DA,、降り空前、空後
崖狩り空前、空上
復帰阻止：NB
下強＋空前
空N＋上スマ（100%) 　※横スマ（85%)</t>
    <rPh sb="0" eb="3">
      <t>キュウコウカ</t>
    </rPh>
    <rPh sb="3" eb="5">
      <t>カイヒ</t>
    </rPh>
    <rPh sb="6" eb="7">
      <t>ジャク</t>
    </rPh>
    <rPh sb="8" eb="9">
      <t>ヨコ</t>
    </rPh>
    <rPh sb="9" eb="10">
      <t>ツヨ</t>
    </rPh>
    <rPh sb="15" eb="16">
      <t>オ</t>
    </rPh>
    <rPh sb="17" eb="18">
      <t>クウ</t>
    </rPh>
    <rPh sb="18" eb="19">
      <t>マエ</t>
    </rPh>
    <rPh sb="20" eb="21">
      <t>クウ</t>
    </rPh>
    <rPh sb="21" eb="22">
      <t>ゴ</t>
    </rPh>
    <rPh sb="23" eb="24">
      <t>ガケ</t>
    </rPh>
    <rPh sb="24" eb="25">
      <t>ガ</t>
    </rPh>
    <rPh sb="26" eb="27">
      <t>クウ</t>
    </rPh>
    <rPh sb="27" eb="28">
      <t>マエ</t>
    </rPh>
    <rPh sb="29" eb="30">
      <t>クウ</t>
    </rPh>
    <rPh sb="30" eb="31">
      <t>ウエ</t>
    </rPh>
    <rPh sb="33" eb="35">
      <t>フッキ</t>
    </rPh>
    <rPh sb="35" eb="37">
      <t>ソシ</t>
    </rPh>
    <rPh sb="41" eb="42">
      <t>シタ</t>
    </rPh>
    <rPh sb="42" eb="43">
      <t>ツヨ</t>
    </rPh>
    <rPh sb="44" eb="45">
      <t>クウ</t>
    </rPh>
    <rPh sb="45" eb="46">
      <t>マエ</t>
    </rPh>
    <rPh sb="47" eb="48">
      <t>クウ</t>
    </rPh>
    <rPh sb="50" eb="51">
      <t>ウエ</t>
    </rPh>
    <rPh sb="62" eb="63">
      <t>ヨコ</t>
    </rPh>
    <phoneticPr fontId="2"/>
  </si>
  <si>
    <t>fighter_list</t>
    <phoneticPr fontId="2"/>
  </si>
  <si>
    <t>myfighters</t>
    <phoneticPr fontId="2"/>
  </si>
  <si>
    <t>win_loss_manager</t>
    <phoneticPr fontId="2"/>
  </si>
  <si>
    <t>fnum</t>
    <phoneticPr fontId="2"/>
  </si>
  <si>
    <t>fname</t>
    <phoneticPr fontId="2"/>
  </si>
  <si>
    <t>fryaku</t>
    <phoneticPr fontId="2"/>
  </si>
  <si>
    <t>fact</t>
    <phoneticPr fontId="2"/>
  </si>
  <si>
    <t>myryaku</t>
    <phoneticPr fontId="2"/>
  </si>
  <si>
    <t>current_rate</t>
    <phoneticPr fontId="2"/>
  </si>
  <si>
    <t>history_rate1</t>
    <phoneticPr fontId="2"/>
  </si>
  <si>
    <t>history_rate2</t>
    <phoneticPr fontId="2"/>
  </si>
  <si>
    <t>mynum</t>
    <phoneticPr fontId="6"/>
  </si>
  <si>
    <t>myname</t>
    <phoneticPr fontId="6"/>
  </si>
  <si>
    <t>勝率管理</t>
    <rPh sb="0" eb="2">
      <t>ショウリツ</t>
    </rPh>
    <rPh sb="2" eb="4">
      <t>カンリ</t>
    </rPh>
    <phoneticPr fontId="2"/>
  </si>
  <si>
    <t>×：横強
〇：下強　＋　空N　を交互に</t>
    <rPh sb="2" eb="3">
      <t>ヨコ</t>
    </rPh>
    <rPh sb="3" eb="4">
      <t>ツヨ</t>
    </rPh>
    <rPh sb="7" eb="8">
      <t>シタ</t>
    </rPh>
    <rPh sb="8" eb="9">
      <t>ツヨ</t>
    </rPh>
    <rPh sb="12" eb="13">
      <t>クウ</t>
    </rPh>
    <rPh sb="16" eb="18">
      <t>コウゴ</t>
    </rPh>
    <phoneticPr fontId="2"/>
  </si>
  <si>
    <t>密着を避ける。
相手の方向に体を向け続ける。（撃墜時は背中を向ける）
下強or横強
下投げ＋空前　or　D
下投げ + 空N　＋弱（高パーセントを狙えるが難しい）
＜小技＞
空前崖上がりがファイターの中で強い。
大ジャンプ空前急降下　＋　弱が通る。（難）
横B　＋　横B　＋空N　＋ジャンプ２回で戻る。
＜弱点＞
軽い
密着に弱い
コンボ耐性ない
復帰阻止に弱い</t>
    <rPh sb="0" eb="2">
      <t>ミッチャク</t>
    </rPh>
    <rPh sb="3" eb="4">
      <t>サ</t>
    </rPh>
    <rPh sb="8" eb="10">
      <t>アイテ</t>
    </rPh>
    <rPh sb="11" eb="13">
      <t>ホウコウ</t>
    </rPh>
    <rPh sb="14" eb="15">
      <t>カラダ</t>
    </rPh>
    <rPh sb="16" eb="17">
      <t>ム</t>
    </rPh>
    <rPh sb="18" eb="19">
      <t>ツヅ</t>
    </rPh>
    <rPh sb="23" eb="25">
      <t>ゲキツイ</t>
    </rPh>
    <rPh sb="25" eb="26">
      <t>ジ</t>
    </rPh>
    <rPh sb="27" eb="29">
      <t>セナカ</t>
    </rPh>
    <rPh sb="30" eb="31">
      <t>ム</t>
    </rPh>
    <rPh sb="35" eb="36">
      <t>シタ</t>
    </rPh>
    <rPh sb="36" eb="37">
      <t>ツヨ</t>
    </rPh>
    <rPh sb="39" eb="40">
      <t>ヨコ</t>
    </rPh>
    <rPh sb="40" eb="41">
      <t>ツヨ</t>
    </rPh>
    <rPh sb="42" eb="43">
      <t>シタ</t>
    </rPh>
    <rPh sb="43" eb="44">
      <t>ナ</t>
    </rPh>
    <rPh sb="46" eb="47">
      <t>クウ</t>
    </rPh>
    <rPh sb="47" eb="48">
      <t>マエ</t>
    </rPh>
    <rPh sb="54" eb="55">
      <t>シタ</t>
    </rPh>
    <rPh sb="55" eb="56">
      <t>ナ</t>
    </rPh>
    <rPh sb="60" eb="61">
      <t>クウ</t>
    </rPh>
    <rPh sb="64" eb="65">
      <t>ジャク</t>
    </rPh>
    <rPh sb="66" eb="67">
      <t>コウ</t>
    </rPh>
    <rPh sb="73" eb="74">
      <t>ネラ</t>
    </rPh>
    <rPh sb="77" eb="78">
      <t>ムズカ</t>
    </rPh>
    <rPh sb="84" eb="86">
      <t>コワザ</t>
    </rPh>
    <rPh sb="88" eb="89">
      <t>クウ</t>
    </rPh>
    <rPh sb="89" eb="90">
      <t>マエ</t>
    </rPh>
    <rPh sb="90" eb="91">
      <t>ガケ</t>
    </rPh>
    <rPh sb="91" eb="92">
      <t>ア</t>
    </rPh>
    <rPh sb="101" eb="102">
      <t>ナカ</t>
    </rPh>
    <rPh sb="103" eb="104">
      <t>ツヨ</t>
    </rPh>
    <rPh sb="107" eb="108">
      <t>ダイ</t>
    </rPh>
    <rPh sb="112" eb="113">
      <t>クウ</t>
    </rPh>
    <rPh sb="113" eb="114">
      <t>マエ</t>
    </rPh>
    <rPh sb="114" eb="117">
      <t>キュウコウカ</t>
    </rPh>
    <rPh sb="120" eb="121">
      <t>ジャク</t>
    </rPh>
    <rPh sb="122" eb="123">
      <t>トオ</t>
    </rPh>
    <rPh sb="126" eb="127">
      <t>ナン</t>
    </rPh>
    <rPh sb="129" eb="130">
      <t>ヨコ</t>
    </rPh>
    <rPh sb="134" eb="135">
      <t>ヨコ</t>
    </rPh>
    <rPh sb="138" eb="139">
      <t>クウ</t>
    </rPh>
    <rPh sb="147" eb="148">
      <t>カイ</t>
    </rPh>
    <rPh sb="149" eb="150">
      <t>モド</t>
    </rPh>
    <rPh sb="155" eb="157">
      <t>ジャクテン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</si>
</sst>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游ゴシック"/>
      <family val="2"/>
      <charset val="128"/>
      <scheme val="minor"/>
    </font>
    <font>
      <sz val="11"/>
      <color theme="1"/>
      <name val="ＭＳ Ｐゴシック"/>
      <family val="3"/>
      <charset val="128"/>
    </font>
    <font>
      <sz val="6"/>
      <name val="游ゴシック"/>
      <family val="2"/>
      <charset val="128"/>
      <scheme val="minor"/>
    </font>
    <font>
      <sz val="6"/>
      <name val="游ゴシック"/>
      <family val="3"/>
      <charset val="128"/>
      <scheme val="minor"/>
    </font>
    <font>
      <sz val="11"/>
      <name val="ＭＳ Ｐゴシック"/>
      <family val="3"/>
      <charset val="128"/>
    </font>
    <font>
      <sz val="10"/>
      <name val="ＭＳ ゴシック"/>
      <family val="3"/>
      <charset val="128"/>
    </font>
    <font>
      <sz val="6"/>
      <name val="ＭＳ Ｐゴシック"/>
      <family val="3"/>
      <charset val="128"/>
    </font>
    <font>
      <sz val="10"/>
      <color rgb="FFFF0000"/>
      <name val="ＭＳ ゴシック"/>
      <family val="3"/>
      <charset val="128"/>
    </font>
    <font>
      <sz val="10"/>
      <color theme="1"/>
      <name val="ＭＳ ゴシック"/>
      <family val="3"/>
      <charset val="128"/>
    </font>
    <font>
      <sz val="11"/>
      <color theme="1"/>
      <name val="游ゴシック"/>
      <family val="2"/>
      <scheme val="minor"/>
    </font>
    <font>
      <u/>
      <sz val="11"/>
      <color theme="10"/>
      <name val="游ゴシック"/>
      <family val="2"/>
      <charset val="128"/>
      <scheme val="minor"/>
    </font>
    <font>
      <u/>
      <sz val="11"/>
      <color theme="10"/>
      <name val="ＭＳ ゴシック"/>
      <family val="3"/>
      <charset val="128"/>
    </font>
    <font>
      <sz val="11"/>
      <color rgb="FF000000"/>
      <name val="ＭＳ Ｐゴシック"/>
      <family val="3"/>
      <charset val="128"/>
    </font>
    <font>
      <sz val="8"/>
      <color theme="1"/>
      <name val="ＭＳ Ｐゴシック"/>
      <family val="3"/>
      <charset val="128"/>
    </font>
    <font>
      <sz val="8"/>
      <name val="ＭＳ Ｐゴシック"/>
      <family val="3"/>
      <charset val="128"/>
    </font>
    <font>
      <u/>
      <sz val="11"/>
      <color theme="10"/>
      <name val="ＭＳ Ｐゴシック"/>
      <family val="3"/>
      <charset val="128"/>
    </font>
  </fonts>
  <fills count="3">
    <fill>
      <patternFill patternType="none"/>
    </fill>
    <fill>
      <patternFill patternType="gray125"/>
    </fill>
    <fill>
      <patternFill patternType="solid">
        <fgColor indexed="22"/>
        <bgColor indexed="64"/>
      </patternFill>
    </fill>
  </fills>
  <borders count="2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4">
    <xf numFmtId="0" fontId="0" fillId="0" borderId="0">
      <alignment vertical="center"/>
    </xf>
    <xf numFmtId="0" fontId="4" fillId="0" borderId="0">
      <alignment vertical="center"/>
    </xf>
    <xf numFmtId="0" fontId="9" fillId="0" borderId="0"/>
    <xf numFmtId="0" fontId="10" fillId="0" borderId="0" applyNumberFormat="0" applyFill="0" applyBorder="0" applyAlignment="0" applyProtection="0">
      <alignment vertical="center"/>
    </xf>
  </cellStyleXfs>
  <cellXfs count="70">
    <xf numFmtId="0" fontId="0" fillId="0" borderId="0" xfId="0">
      <alignment vertical="center"/>
    </xf>
    <xf numFmtId="0" fontId="1" fillId="0" borderId="0" xfId="0" applyFont="1">
      <alignment vertical="center"/>
    </xf>
    <xf numFmtId="0" fontId="1" fillId="0" borderId="9" xfId="0" applyFont="1" applyBorder="1">
      <alignment vertical="center"/>
    </xf>
    <xf numFmtId="0" fontId="5" fillId="0" borderId="0" xfId="1" applyFont="1">
      <alignment vertical="center"/>
    </xf>
    <xf numFmtId="0" fontId="8" fillId="0" borderId="0" xfId="1" applyFont="1">
      <alignment vertical="center"/>
    </xf>
    <xf numFmtId="0" fontId="5" fillId="0" borderId="0" xfId="1" applyFont="1" applyAlignment="1">
      <alignment horizontal="center" vertical="center" shrinkToFit="1"/>
    </xf>
    <xf numFmtId="14" fontId="5" fillId="0" borderId="0" xfId="1" applyNumberFormat="1" applyFont="1" applyAlignment="1">
      <alignment horizontal="center" vertical="center" shrinkToFit="1"/>
    </xf>
    <xf numFmtId="0" fontId="5" fillId="0" borderId="9" xfId="1" applyFont="1" applyBorder="1" applyAlignment="1">
      <alignment horizontal="center" vertical="center" wrapText="1"/>
    </xf>
    <xf numFmtId="0" fontId="5" fillId="0" borderId="9" xfId="1" applyFont="1" applyBorder="1" applyAlignment="1">
      <alignment vertical="center" wrapText="1"/>
    </xf>
    <xf numFmtId="0" fontId="5" fillId="0" borderId="9" xfId="1" quotePrefix="1" applyFont="1" applyBorder="1" applyAlignment="1">
      <alignment horizontal="center" vertical="center" wrapText="1"/>
    </xf>
    <xf numFmtId="0" fontId="5" fillId="0" borderId="9" xfId="1" applyFont="1" applyBorder="1" applyAlignment="1">
      <alignment vertical="center" shrinkToFit="1"/>
    </xf>
    <xf numFmtId="0" fontId="8" fillId="0" borderId="9" xfId="1" applyFont="1" applyBorder="1" applyAlignment="1">
      <alignment vertical="center" wrapText="1"/>
    </xf>
    <xf numFmtId="0" fontId="8" fillId="0" borderId="9" xfId="1" applyFont="1" applyBorder="1" applyAlignment="1">
      <alignment horizontal="center" vertical="center" wrapText="1"/>
    </xf>
    <xf numFmtId="0" fontId="7" fillId="0" borderId="9" xfId="1" applyFont="1" applyBorder="1" applyAlignment="1">
      <alignment horizontal="center" vertical="center" wrapText="1"/>
    </xf>
    <xf numFmtId="0" fontId="5" fillId="2" borderId="17" xfId="1" applyFont="1" applyFill="1" applyBorder="1" applyAlignment="1">
      <alignment horizontal="center" vertical="center" shrinkToFit="1"/>
    </xf>
    <xf numFmtId="0" fontId="5" fillId="2" borderId="18" xfId="1" applyFont="1" applyFill="1" applyBorder="1" applyAlignment="1">
      <alignment horizontal="center" vertical="center" wrapText="1"/>
    </xf>
    <xf numFmtId="0" fontId="5" fillId="2" borderId="18" xfId="1" applyFont="1" applyFill="1" applyBorder="1" applyAlignment="1">
      <alignment horizontal="center" vertical="center" shrinkToFit="1"/>
    </xf>
    <xf numFmtId="0" fontId="5" fillId="2" borderId="19" xfId="1" applyFont="1" applyFill="1" applyBorder="1" applyAlignment="1">
      <alignment horizontal="center" vertical="center" wrapText="1"/>
    </xf>
    <xf numFmtId="0" fontId="5" fillId="0" borderId="20" xfId="1" applyFont="1" applyBorder="1" applyAlignment="1">
      <alignment horizontal="center" vertical="center" wrapText="1"/>
    </xf>
    <xf numFmtId="0" fontId="5" fillId="0" borderId="21" xfId="1" applyFont="1" applyBorder="1" applyAlignment="1">
      <alignment vertical="center" wrapText="1"/>
    </xf>
    <xf numFmtId="0" fontId="8" fillId="0" borderId="21" xfId="1" applyFont="1" applyBorder="1" applyAlignment="1">
      <alignment vertical="center" wrapText="1"/>
    </xf>
    <xf numFmtId="0" fontId="5" fillId="0" borderId="22" xfId="1" applyFont="1" applyBorder="1" applyAlignment="1">
      <alignment horizontal="center" vertical="center" wrapText="1"/>
    </xf>
    <xf numFmtId="0" fontId="5" fillId="0" borderId="23" xfId="1" applyFont="1" applyBorder="1" applyAlignment="1">
      <alignment vertical="center" wrapText="1"/>
    </xf>
    <xf numFmtId="0" fontId="5" fillId="0" borderId="23" xfId="1" applyFont="1" applyBorder="1" applyAlignment="1">
      <alignment horizontal="center" vertical="center" wrapText="1"/>
    </xf>
    <xf numFmtId="0" fontId="5" fillId="0" borderId="24" xfId="1" applyFont="1" applyBorder="1" applyAlignment="1">
      <alignment vertical="center" wrapText="1"/>
    </xf>
    <xf numFmtId="0" fontId="5" fillId="0" borderId="25" xfId="1" applyFont="1" applyBorder="1" applyAlignment="1">
      <alignment horizontal="center" vertical="center" wrapText="1"/>
    </xf>
    <xf numFmtId="0" fontId="5" fillId="0" borderId="26" xfId="1" applyFont="1" applyBorder="1" applyAlignment="1">
      <alignment vertical="center" wrapText="1"/>
    </xf>
    <xf numFmtId="0" fontId="5" fillId="0" borderId="26" xfId="1" applyFont="1" applyBorder="1" applyAlignment="1">
      <alignment vertical="center" shrinkToFit="1"/>
    </xf>
    <xf numFmtId="0" fontId="5" fillId="0" borderId="26" xfId="1" applyFont="1" applyBorder="1" applyAlignment="1">
      <alignment horizontal="center" vertical="center" wrapText="1"/>
    </xf>
    <xf numFmtId="0" fontId="5" fillId="0" borderId="27" xfId="1" applyFont="1" applyBorder="1" applyAlignment="1">
      <alignment vertical="center" wrapText="1"/>
    </xf>
    <xf numFmtId="0" fontId="11" fillId="0" borderId="9" xfId="3" applyFont="1" applyBorder="1" applyAlignment="1">
      <alignment horizontal="center" vertical="center" wrapText="1"/>
    </xf>
    <xf numFmtId="0" fontId="11" fillId="0" borderId="0" xfId="3" applyFont="1" applyAlignment="1">
      <alignment horizontal="left" vertical="center"/>
    </xf>
    <xf numFmtId="0" fontId="8" fillId="0" borderId="0" xfId="2" applyFont="1" applyAlignment="1">
      <alignment horizontal="center" vertical="center"/>
    </xf>
    <xf numFmtId="0" fontId="13" fillId="0" borderId="9" xfId="0" applyFont="1" applyBorder="1" applyAlignment="1">
      <alignment horizontal="left" vertical="top" wrapText="1"/>
    </xf>
    <xf numFmtId="0" fontId="13" fillId="0" borderId="9" xfId="0" applyFont="1" applyBorder="1" applyAlignment="1">
      <alignment horizontal="left" vertical="top"/>
    </xf>
    <xf numFmtId="0" fontId="15" fillId="0" borderId="0" xfId="3" applyFont="1" applyAlignment="1">
      <alignment horizontal="left" vertical="center"/>
    </xf>
    <xf numFmtId="0" fontId="5" fillId="0" borderId="0" xfId="1" applyFont="1" applyAlignment="1">
      <alignment horizontal="center" vertical="center"/>
    </xf>
    <xf numFmtId="0" fontId="5" fillId="0" borderId="9" xfId="1" applyFont="1" applyBorder="1" applyAlignment="1">
      <alignment horizontal="right" vertical="center"/>
    </xf>
    <xf numFmtId="0" fontId="5" fillId="0" borderId="9" xfId="1" applyFont="1" applyBorder="1">
      <alignment vertical="center"/>
    </xf>
    <xf numFmtId="0" fontId="13" fillId="0" borderId="0" xfId="0" applyFont="1" applyAlignment="1">
      <alignment horizontal="left" vertical="top"/>
    </xf>
    <xf numFmtId="0" fontId="5" fillId="0" borderId="3" xfId="1" applyFont="1" applyBorder="1" applyAlignment="1">
      <alignment horizontal="center" vertical="center" shrinkToFit="1"/>
    </xf>
    <xf numFmtId="0" fontId="5" fillId="0" borderId="4" xfId="1" applyFont="1" applyBorder="1" applyAlignment="1">
      <alignment horizontal="center" vertical="center" shrinkToFit="1"/>
    </xf>
    <xf numFmtId="0" fontId="5" fillId="0" borderId="5" xfId="1" applyFont="1" applyBorder="1" applyAlignment="1">
      <alignment horizontal="center" vertical="center" shrinkToFit="1"/>
    </xf>
    <xf numFmtId="0" fontId="5" fillId="0" borderId="6" xfId="1" applyFont="1" applyBorder="1" applyAlignment="1">
      <alignment horizontal="center" vertical="center" shrinkToFit="1"/>
    </xf>
    <xf numFmtId="0" fontId="5" fillId="0" borderId="7" xfId="1" applyFont="1" applyBorder="1" applyAlignment="1">
      <alignment horizontal="center" vertical="center" shrinkToFit="1"/>
    </xf>
    <xf numFmtId="0" fontId="5" fillId="0" borderId="8" xfId="1" applyFont="1" applyBorder="1" applyAlignment="1">
      <alignment horizontal="center" vertical="center" shrinkToFit="1"/>
    </xf>
    <xf numFmtId="0" fontId="5" fillId="2" borderId="17" xfId="1" applyFont="1" applyFill="1" applyBorder="1" applyAlignment="1">
      <alignment horizontal="center" vertical="center" shrinkToFit="1"/>
    </xf>
    <xf numFmtId="0" fontId="5" fillId="2" borderId="18" xfId="1" applyFont="1" applyFill="1" applyBorder="1" applyAlignment="1">
      <alignment horizontal="center" vertical="center" shrinkToFit="1"/>
    </xf>
    <xf numFmtId="0" fontId="5" fillId="2" borderId="19" xfId="1" applyFont="1" applyFill="1" applyBorder="1" applyAlignment="1">
      <alignment horizontal="center" vertical="center" shrinkToFit="1"/>
    </xf>
    <xf numFmtId="0" fontId="8" fillId="0" borderId="20" xfId="2" applyFont="1" applyBorder="1" applyAlignment="1">
      <alignment horizontal="center" vertical="center"/>
    </xf>
    <xf numFmtId="0" fontId="8" fillId="0" borderId="9" xfId="2" applyFont="1" applyBorder="1" applyAlignment="1">
      <alignment horizontal="center" vertical="center"/>
    </xf>
    <xf numFmtId="0" fontId="8" fillId="0" borderId="21" xfId="2" applyFont="1" applyBorder="1" applyAlignment="1">
      <alignment horizontal="center" vertical="center"/>
    </xf>
    <xf numFmtId="0" fontId="5" fillId="2" borderId="20" xfId="1" applyFont="1" applyFill="1" applyBorder="1" applyAlignment="1">
      <alignment horizontal="center" vertical="center" shrinkToFit="1"/>
    </xf>
    <xf numFmtId="0" fontId="5" fillId="2" borderId="9" xfId="1" applyFont="1" applyFill="1" applyBorder="1" applyAlignment="1">
      <alignment horizontal="center" vertical="center" shrinkToFit="1"/>
    </xf>
    <xf numFmtId="0" fontId="5" fillId="2" borderId="21" xfId="1" applyFont="1" applyFill="1" applyBorder="1" applyAlignment="1">
      <alignment horizontal="center" vertical="center" shrinkToFit="1"/>
    </xf>
    <xf numFmtId="0" fontId="5" fillId="0" borderId="22" xfId="1" applyFont="1" applyBorder="1" applyAlignment="1">
      <alignment horizontal="center" vertical="center" shrinkToFit="1"/>
    </xf>
    <xf numFmtId="0" fontId="5" fillId="0" borderId="23" xfId="1" applyFont="1" applyBorder="1" applyAlignment="1">
      <alignment horizontal="center" vertical="center" shrinkToFit="1"/>
    </xf>
    <xf numFmtId="0" fontId="5" fillId="0" borderId="24" xfId="1" applyFont="1" applyBorder="1" applyAlignment="1">
      <alignment horizontal="center" vertical="center" shrinkToFit="1"/>
    </xf>
    <xf numFmtId="0" fontId="5" fillId="2" borderId="11" xfId="1" applyFont="1" applyFill="1" applyBorder="1" applyAlignment="1">
      <alignment horizontal="center" vertical="center" shrinkToFit="1"/>
    </xf>
    <xf numFmtId="0" fontId="5" fillId="2" borderId="12" xfId="1" applyFont="1" applyFill="1" applyBorder="1" applyAlignment="1">
      <alignment horizontal="center" vertical="center" shrinkToFit="1"/>
    </xf>
    <xf numFmtId="0" fontId="5" fillId="2" borderId="14" xfId="1" applyFont="1" applyFill="1" applyBorder="1" applyAlignment="1">
      <alignment horizontal="center" vertical="center" shrinkToFit="1"/>
    </xf>
    <xf numFmtId="0" fontId="8" fillId="0" borderId="2" xfId="2" applyFont="1" applyBorder="1" applyAlignment="1">
      <alignment horizontal="center" vertical="center"/>
    </xf>
    <xf numFmtId="0" fontId="8" fillId="0" borderId="1" xfId="2" applyFont="1" applyBorder="1" applyAlignment="1">
      <alignment horizontal="center" vertical="center"/>
    </xf>
    <xf numFmtId="0" fontId="8" fillId="0" borderId="15" xfId="2" applyFont="1" applyBorder="1" applyAlignment="1">
      <alignment horizontal="center" vertical="center"/>
    </xf>
    <xf numFmtId="0" fontId="5" fillId="2" borderId="2" xfId="1" applyFont="1" applyFill="1" applyBorder="1" applyAlignment="1">
      <alignment horizontal="center" vertical="center" shrinkToFit="1"/>
    </xf>
    <xf numFmtId="0" fontId="5" fillId="2" borderId="1" xfId="1" applyFont="1" applyFill="1" applyBorder="1" applyAlignment="1">
      <alignment horizontal="center" vertical="center" shrinkToFit="1"/>
    </xf>
    <xf numFmtId="0" fontId="5" fillId="2" borderId="15" xfId="1" applyFont="1" applyFill="1" applyBorder="1" applyAlignment="1">
      <alignment horizontal="center" vertical="center" shrinkToFit="1"/>
    </xf>
    <xf numFmtId="0" fontId="5" fillId="0" borderId="10" xfId="1" applyFont="1" applyBorder="1" applyAlignment="1">
      <alignment horizontal="center" vertical="center" shrinkToFit="1"/>
    </xf>
    <xf numFmtId="0" fontId="5" fillId="0" borderId="13" xfId="1" applyFont="1" applyBorder="1" applyAlignment="1">
      <alignment horizontal="center" vertical="center" shrinkToFit="1"/>
    </xf>
    <xf numFmtId="0" fontId="5" fillId="0" borderId="16" xfId="1" applyFont="1" applyBorder="1" applyAlignment="1">
      <alignment horizontal="center" vertical="center" shrinkToFit="1"/>
    </xf>
  </cellXfs>
  <cellStyles count="4">
    <cellStyle name="ハイパーリンク" xfId="3" builtinId="8"/>
    <cellStyle name="標準" xfId="0" builtinId="0"/>
    <cellStyle name="標準 2" xfId="1" xr:uid="{C8751D2E-98E6-43BF-8F9D-6907CD366EA6}"/>
    <cellStyle name="標準 3" xfId="2" xr:uid="{C546A956-88CA-4FF3-A7D7-FC77B1D6559B}"/>
  </cellStyles>
  <dxfs count="42">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2</xdr:row>
          <xdr:rowOff>0</xdr:rowOff>
        </xdr:from>
        <xdr:to>
          <xdr:col>6</xdr:col>
          <xdr:colOff>2514600</xdr:colOff>
          <xdr:row>4</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SQL出力</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1A058-0DC4-491D-B42A-7DCDE68A1BFB}">
  <sheetPr codeName="Sheet1">
    <tabColor theme="4"/>
  </sheetPr>
  <dimension ref="A1:G12"/>
  <sheetViews>
    <sheetView showGridLines="0" tabSelected="1" zoomScaleNormal="100" workbookViewId="0">
      <pane ySplit="6" topLeftCell="A7" activePane="bottomLeft" state="frozen"/>
      <selection pane="bottomLeft" sqref="A1:B4"/>
    </sheetView>
  </sheetViews>
  <sheetFormatPr defaultColWidth="7.19921875" defaultRowHeight="12" x14ac:dyDescent="0.45"/>
  <cols>
    <col min="1" max="1" width="3.8984375" style="3" customWidth="1"/>
    <col min="2" max="2" width="15.19921875" style="3" customWidth="1"/>
    <col min="3" max="3" width="15.69921875" style="3" customWidth="1"/>
    <col min="4" max="5" width="7.69921875" style="3" customWidth="1"/>
    <col min="6" max="6" width="6.69921875" style="3" bestFit="1" customWidth="1"/>
    <col min="7" max="7" width="35.19921875" style="3" customWidth="1"/>
    <col min="8" max="16384" width="7.19921875" style="3"/>
  </cols>
  <sheetData>
    <row r="1" spans="1:7" x14ac:dyDescent="0.45">
      <c r="A1" s="40" t="s">
        <v>106</v>
      </c>
      <c r="B1" s="41"/>
      <c r="C1" s="46" t="s">
        <v>162</v>
      </c>
      <c r="D1" s="47"/>
      <c r="E1" s="47"/>
      <c r="F1" s="48"/>
      <c r="G1" s="5"/>
    </row>
    <row r="2" spans="1:7" x14ac:dyDescent="0.45">
      <c r="A2" s="42"/>
      <c r="B2" s="43"/>
      <c r="C2" s="49" t="s">
        <v>0</v>
      </c>
      <c r="D2" s="50"/>
      <c r="E2" s="50"/>
      <c r="F2" s="51"/>
      <c r="G2" s="32"/>
    </row>
    <row r="3" spans="1:7" x14ac:dyDescent="0.45">
      <c r="A3" s="42"/>
      <c r="B3" s="43"/>
      <c r="C3" s="52" t="s">
        <v>165</v>
      </c>
      <c r="D3" s="53"/>
      <c r="E3" s="53"/>
      <c r="F3" s="54"/>
      <c r="G3" s="5"/>
    </row>
    <row r="4" spans="1:7" ht="12.6" thickBot="1" x14ac:dyDescent="0.5">
      <c r="A4" s="44"/>
      <c r="B4" s="45"/>
      <c r="C4" s="55" t="s">
        <v>288</v>
      </c>
      <c r="D4" s="56"/>
      <c r="E4" s="56"/>
      <c r="F4" s="57"/>
      <c r="G4" s="5"/>
    </row>
    <row r="5" spans="1:7" ht="12.6" thickBot="1" x14ac:dyDescent="0.5">
      <c r="A5" s="5"/>
      <c r="B5" s="5"/>
      <c r="C5" s="5"/>
      <c r="D5" s="5"/>
      <c r="E5" s="5"/>
      <c r="F5" s="5"/>
      <c r="G5" s="6"/>
    </row>
    <row r="6" spans="1:7" x14ac:dyDescent="0.45">
      <c r="A6" s="14" t="s">
        <v>109</v>
      </c>
      <c r="B6" s="15" t="s">
        <v>167</v>
      </c>
      <c r="C6" s="15" t="s">
        <v>111</v>
      </c>
      <c r="D6" s="16" t="s">
        <v>166</v>
      </c>
      <c r="E6" s="16" t="s">
        <v>168</v>
      </c>
      <c r="F6" s="16" t="s">
        <v>287</v>
      </c>
      <c r="G6" s="17" t="s">
        <v>107</v>
      </c>
    </row>
    <row r="7" spans="1:7" ht="13.2" x14ac:dyDescent="0.45">
      <c r="A7" s="18">
        <v>1</v>
      </c>
      <c r="B7" s="8" t="s">
        <v>169</v>
      </c>
      <c r="C7" s="8" t="str">
        <f t="shared" ref="C7:C9" ca="1" si="0">INDIRECT(B7 &amp; "!$G$4")</f>
        <v>fighter_list</v>
      </c>
      <c r="D7" s="30" t="str">
        <f t="shared" ref="D7:D9" si="1">HYPERLINK("#" &amp; B7 &amp; "!A1","定義")</f>
        <v>定義</v>
      </c>
      <c r="E7" s="30" t="str">
        <f t="shared" ref="E7:E9" si="2">HYPERLINK("#D." &amp; B7 &amp; "!A1","データ")</f>
        <v>データ</v>
      </c>
      <c r="F7" s="7" t="s">
        <v>104</v>
      </c>
      <c r="G7" s="19"/>
    </row>
    <row r="8" spans="1:7" ht="13.2" x14ac:dyDescent="0.45">
      <c r="A8" s="18">
        <f t="shared" ref="A8:A9" si="3">A7+1</f>
        <v>2</v>
      </c>
      <c r="B8" s="8" t="s">
        <v>1</v>
      </c>
      <c r="C8" s="8" t="str">
        <f t="shared" ca="1" si="0"/>
        <v>myfighters</v>
      </c>
      <c r="D8" s="30" t="str">
        <f t="shared" si="1"/>
        <v>定義</v>
      </c>
      <c r="E8" s="30" t="str">
        <f t="shared" si="2"/>
        <v>データ</v>
      </c>
      <c r="F8" s="7" t="s">
        <v>104</v>
      </c>
      <c r="G8" s="19"/>
    </row>
    <row r="9" spans="1:7" ht="13.2" x14ac:dyDescent="0.45">
      <c r="A9" s="18">
        <f t="shared" si="3"/>
        <v>3</v>
      </c>
      <c r="B9" s="8" t="s">
        <v>346</v>
      </c>
      <c r="C9" s="8" t="str">
        <f t="shared" ca="1" si="0"/>
        <v>win_loss_manager</v>
      </c>
      <c r="D9" s="30" t="str">
        <f t="shared" si="1"/>
        <v>定義</v>
      </c>
      <c r="E9" s="30" t="str">
        <f t="shared" si="2"/>
        <v>データ</v>
      </c>
      <c r="F9" s="7" t="s">
        <v>104</v>
      </c>
      <c r="G9" s="19"/>
    </row>
    <row r="10" spans="1:7" x14ac:dyDescent="0.45">
      <c r="A10" s="25"/>
      <c r="B10" s="26"/>
      <c r="C10" s="27"/>
      <c r="D10" s="26"/>
      <c r="E10" s="28"/>
      <c r="F10" s="28"/>
      <c r="G10" s="29"/>
    </row>
    <row r="11" spans="1:7" x14ac:dyDescent="0.45">
      <c r="A11" s="25"/>
      <c r="B11" s="26"/>
      <c r="C11" s="27"/>
      <c r="D11" s="26"/>
      <c r="E11" s="28"/>
      <c r="F11" s="28"/>
      <c r="G11" s="29"/>
    </row>
    <row r="12" spans="1:7" ht="12.6" thickBot="1" x14ac:dyDescent="0.5">
      <c r="A12" s="21"/>
      <c r="B12" s="22"/>
      <c r="C12" s="22"/>
      <c r="D12" s="22"/>
      <c r="E12" s="23"/>
      <c r="F12" s="23"/>
      <c r="G12" s="24"/>
    </row>
  </sheetData>
  <mergeCells count="5">
    <mergeCell ref="A1:B4"/>
    <mergeCell ref="C1:F1"/>
    <mergeCell ref="C2:F2"/>
    <mergeCell ref="C3:F3"/>
    <mergeCell ref="C4:F4"/>
  </mergeCells>
  <phoneticPr fontId="2"/>
  <pageMargins left="0.78740157480314965" right="0.78740157480314965" top="0.59055118110236227" bottom="0.6692913385826772" header="0.31496062992125984" footer="0.43307086614173229"/>
  <pageSetup paperSize="9" scale="75" orientation="landscape" r:id="rId1"/>
  <headerFooter>
    <oddFooter>&amp;L&amp;"HG丸ｺﾞｼｯｸM-PRO,標準"&amp;7オープン系SI標準フレームワーク&amp;"ＭＳ Ｐゴシック,標準"&amp;8
&amp;"ＭＳ ゴシック,標準"[様式] エンティティ定義書（第3.0版）&amp;C&amp;"ＭＳ ゴシック,標準"&amp;9- &amp;P -&amp;R&amp;G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SQL出力.SQL出力">
                <anchor moveWithCells="1" sizeWithCells="1">
                  <from>
                    <xdr:col>6</xdr:col>
                    <xdr:colOff>190500</xdr:colOff>
                    <xdr:row>2</xdr:row>
                    <xdr:rowOff>0</xdr:rowOff>
                  </from>
                  <to>
                    <xdr:col>6</xdr:col>
                    <xdr:colOff>2514600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B4505-85F0-4154-A12F-DFACAFF84428}">
  <sheetPr codeName="Sheet4"/>
  <dimension ref="A1:L13"/>
  <sheetViews>
    <sheetView showGridLines="0" zoomScaleNormal="100" workbookViewId="0">
      <pane ySplit="6" topLeftCell="A7" activePane="bottomLeft" state="frozen"/>
      <selection pane="bottomLeft" sqref="A1:B4"/>
    </sheetView>
  </sheetViews>
  <sheetFormatPr defaultColWidth="7.19921875" defaultRowHeight="12" x14ac:dyDescent="0.45"/>
  <cols>
    <col min="1" max="1" width="4.69921875" style="3" customWidth="1"/>
    <col min="2" max="3" width="16.69921875" style="3" customWidth="1"/>
    <col min="4" max="4" width="8.69921875" style="36" customWidth="1"/>
    <col min="5" max="9" width="4.69921875" style="3" customWidth="1"/>
    <col min="10" max="10" width="10.69921875" style="3" customWidth="1"/>
    <col min="11" max="11" width="18.69921875" style="3" customWidth="1"/>
    <col min="12" max="16384" width="7.19921875" style="3"/>
  </cols>
  <sheetData>
    <row r="1" spans="1:12" x14ac:dyDescent="0.45">
      <c r="A1" s="40" t="s">
        <v>106</v>
      </c>
      <c r="B1" s="41"/>
      <c r="C1" s="58" t="s">
        <v>162</v>
      </c>
      <c r="D1" s="58"/>
      <c r="E1" s="58"/>
      <c r="F1" s="58"/>
      <c r="G1" s="59" t="s">
        <v>110</v>
      </c>
      <c r="H1" s="58"/>
      <c r="I1" s="58"/>
      <c r="J1" s="58"/>
      <c r="K1" s="60"/>
    </row>
    <row r="2" spans="1:12" x14ac:dyDescent="0.45">
      <c r="A2" s="42"/>
      <c r="B2" s="43"/>
      <c r="C2" s="61" t="str">
        <f>テーブル一覧!$C$2</f>
        <v>スマブラツール</v>
      </c>
      <c r="D2" s="61"/>
      <c r="E2" s="61"/>
      <c r="F2" s="61"/>
      <c r="G2" s="62" t="str">
        <f ca="1">RIGHT(CELL("filename",A1),LEN(CELL("filename",A1))-FIND("]",CELL("filename",A1)))</f>
        <v>ファイターリスト</v>
      </c>
      <c r="H2" s="61"/>
      <c r="I2" s="61"/>
      <c r="J2" s="61"/>
      <c r="K2" s="63"/>
    </row>
    <row r="3" spans="1:12" x14ac:dyDescent="0.45">
      <c r="A3" s="42"/>
      <c r="B3" s="43"/>
      <c r="C3" s="64" t="s">
        <v>165</v>
      </c>
      <c r="D3" s="64"/>
      <c r="E3" s="64"/>
      <c r="F3" s="64"/>
      <c r="G3" s="65" t="s">
        <v>111</v>
      </c>
      <c r="H3" s="64"/>
      <c r="I3" s="64"/>
      <c r="J3" s="64"/>
      <c r="K3" s="66"/>
    </row>
    <row r="4" spans="1:12" ht="12.6" thickBot="1" x14ac:dyDescent="0.5">
      <c r="A4" s="44"/>
      <c r="B4" s="45"/>
      <c r="C4" s="67" t="str">
        <f>テーブル一覧!$C$4</f>
        <v>sumabura</v>
      </c>
      <c r="D4" s="67"/>
      <c r="E4" s="67"/>
      <c r="F4" s="67"/>
      <c r="G4" s="68" t="s">
        <v>333</v>
      </c>
      <c r="H4" s="67"/>
      <c r="I4" s="67"/>
      <c r="J4" s="67"/>
      <c r="K4" s="69"/>
    </row>
    <row r="5" spans="1:12" ht="13.8" thickBot="1" x14ac:dyDescent="0.5">
      <c r="A5" s="31" t="str">
        <f>HYPERLINK("#テーブル一覧!A1","テーブル一覧に戻る")</f>
        <v>テーブル一覧に戻る</v>
      </c>
      <c r="B5" s="5"/>
      <c r="C5" s="5"/>
      <c r="D5" s="5"/>
      <c r="E5" s="5"/>
      <c r="F5" s="5"/>
      <c r="G5" s="5"/>
      <c r="H5" s="5"/>
      <c r="I5" s="5"/>
      <c r="J5" s="5"/>
      <c r="K5" s="6"/>
    </row>
    <row r="6" spans="1:12" x14ac:dyDescent="0.45">
      <c r="A6" s="14" t="s">
        <v>109</v>
      </c>
      <c r="B6" s="15" t="s">
        <v>108</v>
      </c>
      <c r="C6" s="15" t="s">
        <v>101</v>
      </c>
      <c r="D6" s="16" t="s">
        <v>100</v>
      </c>
      <c r="E6" s="16" t="s">
        <v>99</v>
      </c>
      <c r="F6" s="16" t="s">
        <v>98</v>
      </c>
      <c r="G6" s="16" t="s">
        <v>97</v>
      </c>
      <c r="H6" s="16" t="s">
        <v>96</v>
      </c>
      <c r="I6" s="16" t="s">
        <v>300</v>
      </c>
      <c r="J6" s="15" t="s">
        <v>95</v>
      </c>
      <c r="K6" s="17" t="s">
        <v>107</v>
      </c>
    </row>
    <row r="7" spans="1:12" x14ac:dyDescent="0.45">
      <c r="A7" s="18">
        <v>1</v>
      </c>
      <c r="B7" s="8" t="s">
        <v>289</v>
      </c>
      <c r="C7" s="8" t="s">
        <v>336</v>
      </c>
      <c r="D7" s="7" t="s">
        <v>163</v>
      </c>
      <c r="E7" s="9" t="s">
        <v>164</v>
      </c>
      <c r="F7" s="7" t="s">
        <v>94</v>
      </c>
      <c r="G7" s="7"/>
      <c r="H7" s="7" t="s">
        <v>104</v>
      </c>
      <c r="I7" s="7"/>
      <c r="J7" s="7"/>
      <c r="K7" s="19" t="s">
        <v>158</v>
      </c>
    </row>
    <row r="8" spans="1:12" x14ac:dyDescent="0.45">
      <c r="A8" s="18">
        <f t="shared" ref="A8:A11" si="0">A7+1</f>
        <v>2</v>
      </c>
      <c r="B8" s="8" t="s">
        <v>290</v>
      </c>
      <c r="C8" s="8" t="s">
        <v>337</v>
      </c>
      <c r="D8" s="7" t="s">
        <v>103</v>
      </c>
      <c r="E8" s="9">
        <v>30</v>
      </c>
      <c r="F8" s="7"/>
      <c r="G8" s="7"/>
      <c r="H8" s="7" t="s">
        <v>104</v>
      </c>
      <c r="I8" s="7"/>
      <c r="J8" s="7"/>
      <c r="K8" s="19" t="s">
        <v>158</v>
      </c>
    </row>
    <row r="9" spans="1:12" x14ac:dyDescent="0.45">
      <c r="A9" s="18">
        <f t="shared" si="0"/>
        <v>3</v>
      </c>
      <c r="B9" s="8" t="s">
        <v>291</v>
      </c>
      <c r="C9" s="10" t="s">
        <v>338</v>
      </c>
      <c r="D9" s="7" t="s">
        <v>103</v>
      </c>
      <c r="E9" s="7">
        <v>20</v>
      </c>
      <c r="F9" s="7"/>
      <c r="G9" s="7"/>
      <c r="H9" s="7" t="s">
        <v>104</v>
      </c>
      <c r="I9" s="7" t="s">
        <v>104</v>
      </c>
      <c r="J9" s="7"/>
      <c r="K9" s="19" t="s">
        <v>158</v>
      </c>
    </row>
    <row r="10" spans="1:12" x14ac:dyDescent="0.45">
      <c r="A10" s="18">
        <f t="shared" si="0"/>
        <v>4</v>
      </c>
      <c r="B10" s="11" t="s">
        <v>112</v>
      </c>
      <c r="C10" s="10" t="s">
        <v>339</v>
      </c>
      <c r="D10" s="7" t="s">
        <v>93</v>
      </c>
      <c r="E10" s="7">
        <v>1000</v>
      </c>
      <c r="F10" s="12"/>
      <c r="G10" s="12"/>
      <c r="H10" s="7"/>
      <c r="I10" s="7"/>
      <c r="J10" s="7"/>
      <c r="K10" s="20" t="s">
        <v>295</v>
      </c>
      <c r="L10" s="4"/>
    </row>
    <row r="11" spans="1:12" x14ac:dyDescent="0.45">
      <c r="A11" s="18"/>
      <c r="B11" s="8"/>
      <c r="C11" s="10"/>
      <c r="D11" s="7"/>
      <c r="E11" s="7"/>
      <c r="F11" s="7"/>
      <c r="G11" s="7"/>
      <c r="H11" s="13"/>
      <c r="I11" s="13"/>
      <c r="J11" s="13"/>
      <c r="K11" s="20"/>
    </row>
    <row r="12" spans="1:12" x14ac:dyDescent="0.45">
      <c r="A12" s="18"/>
      <c r="B12" s="8"/>
      <c r="C12" s="8"/>
      <c r="D12" s="7"/>
      <c r="E12" s="7"/>
      <c r="F12" s="7"/>
      <c r="G12" s="7"/>
      <c r="H12" s="7"/>
      <c r="I12" s="7"/>
      <c r="J12" s="7"/>
      <c r="K12" s="19"/>
    </row>
    <row r="13" spans="1:12" ht="12.6" thickBot="1" x14ac:dyDescent="0.5">
      <c r="A13" s="21"/>
      <c r="B13" s="22"/>
      <c r="C13" s="22"/>
      <c r="D13" s="23"/>
      <c r="E13" s="23"/>
      <c r="F13" s="23"/>
      <c r="G13" s="23"/>
      <c r="H13" s="23"/>
      <c r="I13" s="23"/>
      <c r="J13" s="23"/>
      <c r="K13" s="24"/>
    </row>
  </sheetData>
  <mergeCells count="9">
    <mergeCell ref="A1:B4"/>
    <mergeCell ref="C1:F1"/>
    <mergeCell ref="G1:K1"/>
    <mergeCell ref="C2:F2"/>
    <mergeCell ref="G2:K2"/>
    <mergeCell ref="C3:F3"/>
    <mergeCell ref="G3:K3"/>
    <mergeCell ref="C4:F4"/>
    <mergeCell ref="G4:K4"/>
  </mergeCells>
  <phoneticPr fontId="2"/>
  <pageMargins left="0.78740157480314965" right="0.78740157480314965" top="0.59055118110236227" bottom="0.6692913385826772" header="0.31496062992125984" footer="0.43307086614173229"/>
  <pageSetup paperSize="9" scale="75" orientation="landscape" r:id="rId1"/>
  <headerFooter>
    <oddFooter>&amp;L&amp;"HG丸ｺﾞｼｯｸM-PRO,標準"&amp;7オープン系SI標準フレームワーク&amp;"ＭＳ Ｐゴシック,標準"&amp;8
&amp;"ＭＳ ゴシック,標準"[様式] エンティティ定義書（第3.0版）&amp;C&amp;"ＭＳ ゴシック,標準"&amp;9- &amp;P -&amp;R&amp;G</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0B2E3-6316-4C0B-A822-99D1EADD634C}">
  <sheetPr codeName="Sheet5"/>
  <dimension ref="A1:G86"/>
  <sheetViews>
    <sheetView zoomScale="85" zoomScaleNormal="85" workbookViewId="0">
      <pane ySplit="4" topLeftCell="A5" activePane="bottomLeft" state="frozen"/>
      <selection pane="bottomLeft"/>
    </sheetView>
  </sheetViews>
  <sheetFormatPr defaultColWidth="5.796875" defaultRowHeight="13.2" x14ac:dyDescent="0.45"/>
  <cols>
    <col min="1" max="1" width="4.69921875" style="1" customWidth="1"/>
    <col min="2" max="2" width="20.09765625" style="1" customWidth="1"/>
    <col min="3" max="3" width="10.69921875" style="1" customWidth="1"/>
    <col min="4" max="4" width="40.69921875" style="39" customWidth="1"/>
    <col min="5" max="5" width="5.796875" style="1"/>
    <col min="6" max="6" width="13" style="1" customWidth="1"/>
    <col min="7" max="16384" width="5.796875" style="1"/>
  </cols>
  <sheetData>
    <row r="1" spans="1:4" x14ac:dyDescent="0.45">
      <c r="A1" s="31" t="str">
        <f>HYPERLINK("#テーブル一覧!A1","テーブル一覧に戻る")</f>
        <v>テーブル一覧に戻る</v>
      </c>
    </row>
    <row r="2" spans="1:4" x14ac:dyDescent="0.45">
      <c r="D2" s="39" t="s">
        <v>286</v>
      </c>
    </row>
    <row r="3" spans="1:4" x14ac:dyDescent="0.45">
      <c r="A3" s="8" t="s">
        <v>289</v>
      </c>
      <c r="B3" s="8" t="s">
        <v>290</v>
      </c>
      <c r="C3" s="8" t="s">
        <v>291</v>
      </c>
      <c r="D3" s="11" t="s">
        <v>112</v>
      </c>
    </row>
    <row r="4" spans="1:4" x14ac:dyDescent="0.45">
      <c r="A4" s="8" t="s">
        <v>336</v>
      </c>
      <c r="B4" s="8" t="s">
        <v>337</v>
      </c>
      <c r="C4" s="10" t="s">
        <v>338</v>
      </c>
      <c r="D4" s="10" t="s">
        <v>339</v>
      </c>
    </row>
    <row r="5" spans="1:4" x14ac:dyDescent="0.45">
      <c r="A5" s="2">
        <v>1</v>
      </c>
      <c r="B5" s="2" t="s">
        <v>70</v>
      </c>
      <c r="C5" s="2" t="s">
        <v>70</v>
      </c>
      <c r="D5" s="34"/>
    </row>
    <row r="6" spans="1:4" x14ac:dyDescent="0.45">
      <c r="A6" s="2">
        <v>2</v>
      </c>
      <c r="B6" s="2" t="s">
        <v>71</v>
      </c>
      <c r="C6" s="2" t="s">
        <v>113</v>
      </c>
      <c r="D6" s="34"/>
    </row>
    <row r="7" spans="1:4" x14ac:dyDescent="0.45">
      <c r="A7" s="2">
        <v>3</v>
      </c>
      <c r="B7" s="2" t="s">
        <v>72</v>
      </c>
      <c r="C7" s="2" t="s">
        <v>72</v>
      </c>
      <c r="D7" s="34"/>
    </row>
    <row r="8" spans="1:4" x14ac:dyDescent="0.45">
      <c r="A8" s="2">
        <v>4</v>
      </c>
      <c r="B8" s="2" t="s">
        <v>114</v>
      </c>
      <c r="C8" s="2" t="s">
        <v>115</v>
      </c>
      <c r="D8" s="34"/>
    </row>
    <row r="9" spans="1:4" x14ac:dyDescent="0.45">
      <c r="A9" s="2">
        <v>6</v>
      </c>
      <c r="B9" s="2" t="s">
        <v>116</v>
      </c>
      <c r="C9" s="2" t="s">
        <v>116</v>
      </c>
      <c r="D9" s="34"/>
    </row>
    <row r="10" spans="1:4" x14ac:dyDescent="0.45">
      <c r="A10" s="2">
        <v>7</v>
      </c>
      <c r="B10" s="2" t="s">
        <v>73</v>
      </c>
      <c r="C10" s="2" t="s">
        <v>117</v>
      </c>
      <c r="D10" s="34"/>
    </row>
    <row r="11" spans="1:4" ht="71.400000000000006" customHeight="1" x14ac:dyDescent="0.45">
      <c r="A11" s="2">
        <v>8</v>
      </c>
      <c r="B11" s="2" t="s">
        <v>74</v>
      </c>
      <c r="C11" s="2" t="s">
        <v>118</v>
      </c>
      <c r="D11" s="33" t="s">
        <v>332</v>
      </c>
    </row>
    <row r="12" spans="1:4" x14ac:dyDescent="0.45">
      <c r="A12" s="2">
        <v>9</v>
      </c>
      <c r="B12" s="2" t="s">
        <v>75</v>
      </c>
      <c r="C12" s="2" t="s">
        <v>119</v>
      </c>
      <c r="D12" s="34"/>
    </row>
    <row r="13" spans="1:4" x14ac:dyDescent="0.45">
      <c r="A13" s="2">
        <v>10</v>
      </c>
      <c r="B13" s="2" t="s">
        <v>2</v>
      </c>
      <c r="C13" s="2" t="s">
        <v>120</v>
      </c>
      <c r="D13" s="34"/>
    </row>
    <row r="14" spans="1:4" x14ac:dyDescent="0.45">
      <c r="A14" s="2">
        <v>11</v>
      </c>
      <c r="B14" s="2" t="s">
        <v>3</v>
      </c>
      <c r="C14" s="2" t="s">
        <v>3</v>
      </c>
      <c r="D14" s="34"/>
    </row>
    <row r="15" spans="1:4" x14ac:dyDescent="0.45">
      <c r="A15" s="2">
        <v>12</v>
      </c>
      <c r="B15" s="2" t="s">
        <v>121</v>
      </c>
      <c r="C15" s="2" t="s">
        <v>122</v>
      </c>
      <c r="D15" s="34"/>
    </row>
    <row r="16" spans="1:4" x14ac:dyDescent="0.45">
      <c r="A16" s="2">
        <v>13</v>
      </c>
      <c r="B16" s="2" t="s">
        <v>4</v>
      </c>
      <c r="C16" s="2" t="s">
        <v>4</v>
      </c>
      <c r="D16" s="34"/>
    </row>
    <row r="17" spans="1:4" x14ac:dyDescent="0.45">
      <c r="A17" s="2">
        <v>14</v>
      </c>
      <c r="B17" s="2" t="s">
        <v>123</v>
      </c>
      <c r="C17" s="2" t="s">
        <v>124</v>
      </c>
      <c r="D17" s="34"/>
    </row>
    <row r="18" spans="1:4" x14ac:dyDescent="0.45">
      <c r="A18" s="2">
        <v>16</v>
      </c>
      <c r="B18" s="2" t="s">
        <v>5</v>
      </c>
      <c r="C18" s="2" t="s">
        <v>125</v>
      </c>
      <c r="D18" s="34"/>
    </row>
    <row r="19" spans="1:4" x14ac:dyDescent="0.45">
      <c r="A19" s="2">
        <v>17</v>
      </c>
      <c r="B19" s="2" t="s">
        <v>6</v>
      </c>
      <c r="C19" s="2" t="s">
        <v>126</v>
      </c>
      <c r="D19" s="34"/>
    </row>
    <row r="20" spans="1:4" x14ac:dyDescent="0.45">
      <c r="A20" s="2">
        <v>18</v>
      </c>
      <c r="B20" s="2" t="s">
        <v>7</v>
      </c>
      <c r="C20" s="2" t="s">
        <v>7</v>
      </c>
      <c r="D20" s="34"/>
    </row>
    <row r="21" spans="1:4" x14ac:dyDescent="0.45">
      <c r="A21" s="2">
        <v>19</v>
      </c>
      <c r="B21" s="2" t="s">
        <v>8</v>
      </c>
      <c r="C21" s="2" t="s">
        <v>8</v>
      </c>
      <c r="D21" s="34"/>
    </row>
    <row r="22" spans="1:4" x14ac:dyDescent="0.45">
      <c r="A22" s="2">
        <v>20</v>
      </c>
      <c r="B22" s="2" t="s">
        <v>9</v>
      </c>
      <c r="C22" s="2" t="s">
        <v>127</v>
      </c>
      <c r="D22" s="34"/>
    </row>
    <row r="23" spans="1:4" x14ac:dyDescent="0.45">
      <c r="A23" s="2">
        <v>21</v>
      </c>
      <c r="B23" s="2" t="s">
        <v>10</v>
      </c>
      <c r="C23" s="2" t="s">
        <v>10</v>
      </c>
      <c r="D23" s="34"/>
    </row>
    <row r="24" spans="1:4" x14ac:dyDescent="0.45">
      <c r="A24" s="2">
        <v>22</v>
      </c>
      <c r="B24" s="2" t="s">
        <v>11</v>
      </c>
      <c r="C24" s="2" t="s">
        <v>11</v>
      </c>
      <c r="D24" s="34"/>
    </row>
    <row r="25" spans="1:4" x14ac:dyDescent="0.45">
      <c r="A25" s="2">
        <v>23</v>
      </c>
      <c r="B25" s="2" t="s">
        <v>12</v>
      </c>
      <c r="C25" s="2" t="s">
        <v>12</v>
      </c>
      <c r="D25" s="34"/>
    </row>
    <row r="26" spans="1:4" x14ac:dyDescent="0.45">
      <c r="A26" s="2">
        <v>24</v>
      </c>
      <c r="B26" s="2" t="s">
        <v>13</v>
      </c>
      <c r="C26" s="2" t="s">
        <v>13</v>
      </c>
      <c r="D26" s="34"/>
    </row>
    <row r="27" spans="1:4" x14ac:dyDescent="0.45">
      <c r="A27" s="2">
        <v>25</v>
      </c>
      <c r="B27" s="2" t="s">
        <v>14</v>
      </c>
      <c r="C27" s="2" t="s">
        <v>128</v>
      </c>
      <c r="D27" s="34"/>
    </row>
    <row r="28" spans="1:4" x14ac:dyDescent="0.45">
      <c r="A28" s="2">
        <v>26</v>
      </c>
      <c r="B28" s="2" t="s">
        <v>15</v>
      </c>
      <c r="C28" s="2" t="s">
        <v>129</v>
      </c>
      <c r="D28" s="34"/>
    </row>
    <row r="29" spans="1:4" x14ac:dyDescent="0.45">
      <c r="A29" s="2">
        <v>27</v>
      </c>
      <c r="B29" s="2" t="s">
        <v>130</v>
      </c>
      <c r="C29" s="2" t="s">
        <v>131</v>
      </c>
      <c r="D29" s="34"/>
    </row>
    <row r="30" spans="1:4" x14ac:dyDescent="0.45">
      <c r="A30" s="2">
        <v>28</v>
      </c>
      <c r="B30" s="2" t="s">
        <v>16</v>
      </c>
      <c r="C30" s="2" t="s">
        <v>16</v>
      </c>
      <c r="D30" s="34"/>
    </row>
    <row r="31" spans="1:4" x14ac:dyDescent="0.45">
      <c r="A31" s="2">
        <v>29</v>
      </c>
      <c r="B31" s="2" t="s">
        <v>17</v>
      </c>
      <c r="C31" s="2" t="s">
        <v>17</v>
      </c>
      <c r="D31" s="34"/>
    </row>
    <row r="32" spans="1:4" x14ac:dyDescent="0.45">
      <c r="A32" s="2">
        <v>30</v>
      </c>
      <c r="B32" s="2" t="s">
        <v>132</v>
      </c>
      <c r="C32" s="2" t="s">
        <v>133</v>
      </c>
      <c r="D32" s="34"/>
    </row>
    <row r="33" spans="1:7" x14ac:dyDescent="0.45">
      <c r="A33" s="2">
        <v>31</v>
      </c>
      <c r="B33" s="2" t="s">
        <v>18</v>
      </c>
      <c r="C33" s="2" t="s">
        <v>134</v>
      </c>
      <c r="D33" s="34"/>
    </row>
    <row r="34" spans="1:7" x14ac:dyDescent="0.45">
      <c r="A34" s="2">
        <v>32</v>
      </c>
      <c r="B34" s="2" t="s">
        <v>135</v>
      </c>
      <c r="C34" s="2" t="s">
        <v>136</v>
      </c>
      <c r="D34" s="34"/>
    </row>
    <row r="35" spans="1:7" x14ac:dyDescent="0.45">
      <c r="A35" s="2">
        <v>34</v>
      </c>
      <c r="B35" s="2" t="s">
        <v>19</v>
      </c>
      <c r="C35" s="2" t="s">
        <v>137</v>
      </c>
      <c r="D35" s="34"/>
    </row>
    <row r="36" spans="1:7" x14ac:dyDescent="0.45">
      <c r="A36" s="2">
        <v>35</v>
      </c>
      <c r="B36" s="2" t="s">
        <v>20</v>
      </c>
      <c r="C36" s="2" t="s">
        <v>20</v>
      </c>
      <c r="D36" s="34"/>
    </row>
    <row r="37" spans="1:7" x14ac:dyDescent="0.45">
      <c r="A37" s="2">
        <v>36</v>
      </c>
      <c r="B37" s="2" t="s">
        <v>21</v>
      </c>
      <c r="C37" s="2" t="s">
        <v>21</v>
      </c>
      <c r="D37" s="34"/>
    </row>
    <row r="38" spans="1:7" x14ac:dyDescent="0.45">
      <c r="A38" s="2">
        <v>37</v>
      </c>
      <c r="B38" s="2" t="s">
        <v>22</v>
      </c>
      <c r="C38" s="2" t="s">
        <v>126</v>
      </c>
      <c r="D38" s="34"/>
    </row>
    <row r="39" spans="1:7" x14ac:dyDescent="0.45">
      <c r="A39" s="2">
        <v>38</v>
      </c>
      <c r="B39" s="2" t="s">
        <v>23</v>
      </c>
      <c r="C39" s="2" t="s">
        <v>138</v>
      </c>
      <c r="D39" s="34"/>
    </row>
    <row r="40" spans="1:7" x14ac:dyDescent="0.45">
      <c r="A40" s="2">
        <v>39</v>
      </c>
      <c r="B40" s="2" t="s">
        <v>24</v>
      </c>
      <c r="C40" s="2" t="s">
        <v>139</v>
      </c>
    </row>
    <row r="41" spans="1:7" ht="54.6" customHeight="1" x14ac:dyDescent="0.45">
      <c r="A41" s="2">
        <v>40</v>
      </c>
      <c r="B41" s="2" t="s">
        <v>25</v>
      </c>
      <c r="C41" s="2" t="s">
        <v>25</v>
      </c>
      <c r="D41" s="33" t="s">
        <v>323</v>
      </c>
      <c r="F41" s="1" t="s">
        <v>327</v>
      </c>
      <c r="G41" s="1" t="s">
        <v>322</v>
      </c>
    </row>
    <row r="42" spans="1:7" x14ac:dyDescent="0.45">
      <c r="A42" s="2">
        <v>41</v>
      </c>
      <c r="B42" s="2" t="s">
        <v>26</v>
      </c>
      <c r="C42" s="2" t="s">
        <v>26</v>
      </c>
      <c r="D42" s="34"/>
    </row>
    <row r="43" spans="1:7" x14ac:dyDescent="0.45">
      <c r="A43" s="2">
        <v>42</v>
      </c>
      <c r="B43" s="2" t="s">
        <v>27</v>
      </c>
      <c r="C43" s="2" t="s">
        <v>140</v>
      </c>
      <c r="D43" s="34"/>
    </row>
    <row r="44" spans="1:7" x14ac:dyDescent="0.45">
      <c r="A44" s="2">
        <v>43</v>
      </c>
      <c r="B44" s="2" t="s">
        <v>28</v>
      </c>
      <c r="C44" s="2" t="s">
        <v>141</v>
      </c>
      <c r="D44" s="34"/>
    </row>
    <row r="45" spans="1:7" x14ac:dyDescent="0.45">
      <c r="A45" s="2">
        <v>44</v>
      </c>
      <c r="B45" s="2" t="s">
        <v>29</v>
      </c>
      <c r="C45" s="2" t="s">
        <v>29</v>
      </c>
      <c r="D45" s="34"/>
    </row>
    <row r="46" spans="1:7" ht="86.4" x14ac:dyDescent="0.45">
      <c r="A46" s="2">
        <v>45</v>
      </c>
      <c r="B46" s="2" t="s">
        <v>30</v>
      </c>
      <c r="C46" s="2" t="s">
        <v>30</v>
      </c>
      <c r="D46" s="33" t="s">
        <v>331</v>
      </c>
      <c r="F46" s="1" t="s">
        <v>330</v>
      </c>
    </row>
    <row r="47" spans="1:7" x14ac:dyDescent="0.45">
      <c r="A47" s="2">
        <v>46</v>
      </c>
      <c r="B47" s="2" t="s">
        <v>31</v>
      </c>
      <c r="C47" s="2" t="s">
        <v>142</v>
      </c>
      <c r="D47" s="34"/>
    </row>
    <row r="48" spans="1:7" x14ac:dyDescent="0.45">
      <c r="A48" s="2">
        <v>47</v>
      </c>
      <c r="B48" s="2" t="s">
        <v>32</v>
      </c>
      <c r="C48" s="2" t="s">
        <v>32</v>
      </c>
      <c r="D48" s="34"/>
    </row>
    <row r="49" spans="1:7" x14ac:dyDescent="0.45">
      <c r="A49" s="2">
        <v>48</v>
      </c>
      <c r="B49" s="2" t="s">
        <v>33</v>
      </c>
      <c r="C49" s="2" t="s">
        <v>33</v>
      </c>
      <c r="D49" s="34"/>
    </row>
    <row r="50" spans="1:7" x14ac:dyDescent="0.45">
      <c r="A50" s="2">
        <v>49</v>
      </c>
      <c r="B50" s="2" t="s">
        <v>34</v>
      </c>
      <c r="C50" s="2" t="s">
        <v>76</v>
      </c>
      <c r="D50" s="34"/>
    </row>
    <row r="51" spans="1:7" x14ac:dyDescent="0.45">
      <c r="A51" s="2">
        <v>50</v>
      </c>
      <c r="B51" s="2" t="s">
        <v>35</v>
      </c>
      <c r="C51" s="2" t="s">
        <v>143</v>
      </c>
      <c r="D51" s="34"/>
    </row>
    <row r="52" spans="1:7" x14ac:dyDescent="0.45">
      <c r="A52" s="2">
        <v>51</v>
      </c>
      <c r="B52" s="2" t="s">
        <v>36</v>
      </c>
      <c r="C52" s="2" t="s">
        <v>144</v>
      </c>
      <c r="D52" s="34"/>
    </row>
    <row r="53" spans="1:7" x14ac:dyDescent="0.45">
      <c r="A53" s="2">
        <v>52</v>
      </c>
      <c r="B53" s="2" t="s">
        <v>37</v>
      </c>
      <c r="C53" s="2" t="s">
        <v>145</v>
      </c>
      <c r="D53" s="34"/>
    </row>
    <row r="54" spans="1:7" x14ac:dyDescent="0.45">
      <c r="A54" s="2">
        <v>53</v>
      </c>
      <c r="B54" s="2" t="s">
        <v>38</v>
      </c>
      <c r="C54" s="2" t="s">
        <v>146</v>
      </c>
      <c r="D54" s="34"/>
    </row>
    <row r="55" spans="1:7" x14ac:dyDescent="0.45">
      <c r="A55" s="2">
        <v>54</v>
      </c>
      <c r="B55" s="2" t="s">
        <v>39</v>
      </c>
      <c r="C55" s="2" t="s">
        <v>147</v>
      </c>
      <c r="D55" s="34"/>
    </row>
    <row r="56" spans="1:7" x14ac:dyDescent="0.45">
      <c r="A56" s="2">
        <v>55</v>
      </c>
      <c r="B56" s="2" t="s">
        <v>40</v>
      </c>
      <c r="C56" s="2" t="s">
        <v>148</v>
      </c>
      <c r="D56" s="34"/>
    </row>
    <row r="57" spans="1:7" x14ac:dyDescent="0.45">
      <c r="A57" s="2">
        <v>56</v>
      </c>
      <c r="B57" s="2" t="s">
        <v>41</v>
      </c>
      <c r="C57" s="2" t="s">
        <v>105</v>
      </c>
      <c r="D57" s="34"/>
    </row>
    <row r="58" spans="1:7" x14ac:dyDescent="0.45">
      <c r="A58" s="2">
        <v>57</v>
      </c>
      <c r="B58" s="2" t="s">
        <v>42</v>
      </c>
      <c r="C58" s="2" t="s">
        <v>42</v>
      </c>
      <c r="D58" s="34"/>
    </row>
    <row r="59" spans="1:7" x14ac:dyDescent="0.45">
      <c r="A59" s="2">
        <v>58</v>
      </c>
      <c r="B59" s="2" t="s">
        <v>43</v>
      </c>
      <c r="C59" s="2" t="s">
        <v>77</v>
      </c>
      <c r="D59" s="34"/>
    </row>
    <row r="60" spans="1:7" x14ac:dyDescent="0.45">
      <c r="A60" s="2">
        <v>59</v>
      </c>
      <c r="B60" s="2" t="s">
        <v>44</v>
      </c>
      <c r="C60" s="2" t="s">
        <v>44</v>
      </c>
      <c r="D60" s="34"/>
    </row>
    <row r="61" spans="1:7" x14ac:dyDescent="0.45">
      <c r="A61" s="2">
        <v>60</v>
      </c>
      <c r="B61" s="2" t="s">
        <v>45</v>
      </c>
      <c r="C61" s="2" t="s">
        <v>78</v>
      </c>
      <c r="D61" s="34"/>
    </row>
    <row r="62" spans="1:7" x14ac:dyDescent="0.45">
      <c r="A62" s="2">
        <v>61</v>
      </c>
      <c r="B62" s="2" t="s">
        <v>46</v>
      </c>
      <c r="C62" s="2" t="s">
        <v>149</v>
      </c>
      <c r="D62" s="34"/>
    </row>
    <row r="63" spans="1:7" x14ac:dyDescent="0.45">
      <c r="A63" s="2">
        <v>62</v>
      </c>
      <c r="B63" s="2" t="s">
        <v>47</v>
      </c>
      <c r="C63" s="2" t="s">
        <v>79</v>
      </c>
      <c r="D63" s="34"/>
    </row>
    <row r="64" spans="1:7" ht="96" customHeight="1" x14ac:dyDescent="0.45">
      <c r="A64" s="2">
        <v>63</v>
      </c>
      <c r="B64" s="2" t="s">
        <v>48</v>
      </c>
      <c r="C64" s="2" t="s">
        <v>48</v>
      </c>
      <c r="D64" s="33" t="s">
        <v>318</v>
      </c>
      <c r="F64" s="1" t="s">
        <v>326</v>
      </c>
      <c r="G64" s="1" t="s">
        <v>317</v>
      </c>
    </row>
    <row r="65" spans="1:7" x14ac:dyDescent="0.45">
      <c r="A65" s="2">
        <v>64</v>
      </c>
      <c r="B65" s="2" t="s">
        <v>49</v>
      </c>
      <c r="C65" s="2" t="s">
        <v>80</v>
      </c>
      <c r="D65" s="34"/>
    </row>
    <row r="66" spans="1:7" x14ac:dyDescent="0.45">
      <c r="A66" s="2">
        <v>65</v>
      </c>
      <c r="B66" s="2" t="s">
        <v>50</v>
      </c>
      <c r="C66" s="2" t="s">
        <v>50</v>
      </c>
      <c r="D66" s="34"/>
    </row>
    <row r="67" spans="1:7" x14ac:dyDescent="0.45">
      <c r="A67" s="2">
        <v>66</v>
      </c>
      <c r="B67" s="2" t="s">
        <v>51</v>
      </c>
      <c r="C67" s="2" t="s">
        <v>51</v>
      </c>
      <c r="D67" s="34"/>
    </row>
    <row r="68" spans="1:7" x14ac:dyDescent="0.45">
      <c r="A68" s="2">
        <v>67</v>
      </c>
      <c r="B68" s="2" t="s">
        <v>52</v>
      </c>
      <c r="C68" s="2" t="s">
        <v>52</v>
      </c>
      <c r="D68" s="34"/>
    </row>
    <row r="69" spans="1:7" x14ac:dyDescent="0.45">
      <c r="A69" s="2">
        <v>68</v>
      </c>
      <c r="B69" s="2" t="s">
        <v>53</v>
      </c>
      <c r="C69" s="2" t="s">
        <v>150</v>
      </c>
      <c r="D69" s="34"/>
    </row>
    <row r="70" spans="1:7" ht="165.6" customHeight="1" x14ac:dyDescent="0.45">
      <c r="A70" s="2">
        <v>69</v>
      </c>
      <c r="B70" s="2" t="s">
        <v>54</v>
      </c>
      <c r="C70" s="2" t="s">
        <v>54</v>
      </c>
      <c r="D70" s="33" t="s">
        <v>348</v>
      </c>
      <c r="F70" s="1" t="s">
        <v>328</v>
      </c>
      <c r="G70" s="1" t="s">
        <v>320</v>
      </c>
    </row>
    <row r="71" spans="1:7" x14ac:dyDescent="0.45">
      <c r="A71" s="2">
        <v>70</v>
      </c>
      <c r="B71" s="2" t="s">
        <v>151</v>
      </c>
      <c r="C71" s="2" t="s">
        <v>152</v>
      </c>
      <c r="D71" s="34"/>
    </row>
    <row r="72" spans="1:7" x14ac:dyDescent="0.45">
      <c r="A72" s="2">
        <v>72</v>
      </c>
      <c r="B72" s="2" t="s">
        <v>55</v>
      </c>
      <c r="C72" s="2" t="s">
        <v>153</v>
      </c>
      <c r="D72" s="34"/>
    </row>
    <row r="73" spans="1:7" x14ac:dyDescent="0.45">
      <c r="A73" s="2">
        <v>73</v>
      </c>
      <c r="B73" s="2" t="s">
        <v>56</v>
      </c>
      <c r="C73" s="2" t="s">
        <v>56</v>
      </c>
      <c r="D73" s="34"/>
    </row>
    <row r="74" spans="1:7" x14ac:dyDescent="0.45">
      <c r="A74" s="2">
        <v>74</v>
      </c>
      <c r="B74" s="2" t="s">
        <v>57</v>
      </c>
      <c r="C74" s="2" t="s">
        <v>154</v>
      </c>
      <c r="D74" s="34"/>
    </row>
    <row r="75" spans="1:7" x14ac:dyDescent="0.45">
      <c r="A75" s="2">
        <v>75</v>
      </c>
      <c r="B75" s="2" t="s">
        <v>58</v>
      </c>
      <c r="C75" s="2" t="s">
        <v>81</v>
      </c>
      <c r="D75" s="34"/>
    </row>
    <row r="76" spans="1:7" x14ac:dyDescent="0.45">
      <c r="A76" s="2">
        <v>76</v>
      </c>
      <c r="B76" s="2" t="s">
        <v>59</v>
      </c>
      <c r="C76" s="2" t="s">
        <v>155</v>
      </c>
      <c r="D76" s="34"/>
    </row>
    <row r="77" spans="1:7" x14ac:dyDescent="0.45">
      <c r="A77" s="2">
        <v>77</v>
      </c>
      <c r="B77" s="2" t="s">
        <v>60</v>
      </c>
      <c r="C77" s="2" t="s">
        <v>82</v>
      </c>
      <c r="D77" s="34"/>
    </row>
    <row r="78" spans="1:7" x14ac:dyDescent="0.45">
      <c r="A78" s="2">
        <v>78</v>
      </c>
      <c r="B78" s="2" t="s">
        <v>61</v>
      </c>
      <c r="C78" s="2" t="s">
        <v>156</v>
      </c>
      <c r="D78" s="34"/>
    </row>
    <row r="79" spans="1:7" x14ac:dyDescent="0.45">
      <c r="A79" s="2">
        <v>79</v>
      </c>
      <c r="B79" s="2" t="s">
        <v>62</v>
      </c>
      <c r="C79" s="2" t="s">
        <v>62</v>
      </c>
      <c r="D79" s="34"/>
    </row>
    <row r="80" spans="1:7" x14ac:dyDescent="0.45">
      <c r="A80" s="2">
        <v>80</v>
      </c>
      <c r="B80" s="2" t="s">
        <v>63</v>
      </c>
      <c r="C80" s="2" t="s">
        <v>63</v>
      </c>
      <c r="D80" s="34"/>
    </row>
    <row r="81" spans="1:7" x14ac:dyDescent="0.45">
      <c r="A81" s="2">
        <v>81</v>
      </c>
      <c r="B81" s="2" t="s">
        <v>64</v>
      </c>
      <c r="C81" s="2" t="s">
        <v>157</v>
      </c>
      <c r="D81" s="34"/>
    </row>
    <row r="82" spans="1:7" ht="30.6" customHeight="1" x14ac:dyDescent="0.45">
      <c r="A82" s="2">
        <v>82</v>
      </c>
      <c r="B82" s="2" t="s">
        <v>65</v>
      </c>
      <c r="C82" s="2" t="s">
        <v>65</v>
      </c>
      <c r="D82" s="33" t="s">
        <v>319</v>
      </c>
      <c r="F82" s="1" t="s">
        <v>329</v>
      </c>
      <c r="G82" s="1" t="s">
        <v>321</v>
      </c>
    </row>
    <row r="83" spans="1:7" x14ac:dyDescent="0.45">
      <c r="A83" s="2">
        <v>83</v>
      </c>
      <c r="B83" s="2" t="s">
        <v>66</v>
      </c>
      <c r="C83" s="2" t="s">
        <v>66</v>
      </c>
      <c r="D83" s="34"/>
    </row>
    <row r="84" spans="1:7" x14ac:dyDescent="0.45">
      <c r="A84" s="2">
        <v>84</v>
      </c>
      <c r="B84" s="2" t="s">
        <v>67</v>
      </c>
      <c r="C84" s="2" t="s">
        <v>67</v>
      </c>
      <c r="D84" s="34"/>
    </row>
    <row r="85" spans="1:7" x14ac:dyDescent="0.45">
      <c r="A85" s="2">
        <v>85</v>
      </c>
      <c r="B85" s="2" t="s">
        <v>68</v>
      </c>
      <c r="C85" s="2" t="s">
        <v>68</v>
      </c>
      <c r="D85" s="34"/>
    </row>
    <row r="86" spans="1:7" x14ac:dyDescent="0.45">
      <c r="A86" s="2">
        <v>86</v>
      </c>
      <c r="B86" s="2" t="s">
        <v>69</v>
      </c>
      <c r="C86" s="2" t="s">
        <v>69</v>
      </c>
      <c r="D86" s="34"/>
    </row>
  </sheetData>
  <autoFilter ref="A4:D86" xr:uid="{5E10B2E3-6316-4C0B-A822-99D1EADD634C}"/>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4C8DA-2D5B-4779-BD01-986124C94FEE}">
  <sheetPr codeName="Sheet6"/>
  <dimension ref="A1:L25"/>
  <sheetViews>
    <sheetView showGridLines="0" zoomScaleNormal="100" workbookViewId="0">
      <pane ySplit="6" topLeftCell="A7" activePane="bottomLeft" state="frozen"/>
      <selection activeCell="C24" sqref="C24"/>
      <selection pane="bottomLeft" sqref="A1:B4"/>
    </sheetView>
  </sheetViews>
  <sheetFormatPr defaultColWidth="7.19921875" defaultRowHeight="12" x14ac:dyDescent="0.45"/>
  <cols>
    <col min="1" max="1" width="4.69921875" style="3" customWidth="1"/>
    <col min="2" max="3" width="16.69921875" style="3" customWidth="1"/>
    <col min="4" max="4" width="8.69921875" style="36" customWidth="1"/>
    <col min="5" max="9" width="4.69921875" style="3" customWidth="1"/>
    <col min="10" max="10" width="10.69921875" style="3" customWidth="1"/>
    <col min="11" max="11" width="18.69921875" style="3" customWidth="1"/>
    <col min="12" max="16384" width="7.19921875" style="3"/>
  </cols>
  <sheetData>
    <row r="1" spans="1:12" x14ac:dyDescent="0.45">
      <c r="A1" s="40" t="s">
        <v>106</v>
      </c>
      <c r="B1" s="41"/>
      <c r="C1" s="58" t="s">
        <v>162</v>
      </c>
      <c r="D1" s="58"/>
      <c r="E1" s="58"/>
      <c r="F1" s="58"/>
      <c r="G1" s="59" t="s">
        <v>110</v>
      </c>
      <c r="H1" s="58"/>
      <c r="I1" s="58"/>
      <c r="J1" s="58"/>
      <c r="K1" s="60"/>
    </row>
    <row r="2" spans="1:12" x14ac:dyDescent="0.45">
      <c r="A2" s="42"/>
      <c r="B2" s="43"/>
      <c r="C2" s="61" t="str">
        <f>テーブル一覧!$C$2</f>
        <v>スマブラツール</v>
      </c>
      <c r="D2" s="61"/>
      <c r="E2" s="61"/>
      <c r="F2" s="61"/>
      <c r="G2" s="62" t="str">
        <f ca="1">RIGHT(CELL("filename",A1),LEN(CELL("filename",A1))-FIND("]",CELL("filename",A1)))</f>
        <v>プレイヤー管理</v>
      </c>
      <c r="H2" s="61"/>
      <c r="I2" s="61"/>
      <c r="J2" s="61"/>
      <c r="K2" s="63"/>
    </row>
    <row r="3" spans="1:12" x14ac:dyDescent="0.45">
      <c r="A3" s="42"/>
      <c r="B3" s="43"/>
      <c r="C3" s="64" t="s">
        <v>165</v>
      </c>
      <c r="D3" s="64"/>
      <c r="E3" s="64"/>
      <c r="F3" s="64"/>
      <c r="G3" s="65" t="s">
        <v>111</v>
      </c>
      <c r="H3" s="64"/>
      <c r="I3" s="64"/>
      <c r="J3" s="64"/>
      <c r="K3" s="66"/>
    </row>
    <row r="4" spans="1:12" ht="12.6" thickBot="1" x14ac:dyDescent="0.5">
      <c r="A4" s="44"/>
      <c r="B4" s="45"/>
      <c r="C4" s="67" t="str">
        <f>テーブル一覧!$C$4</f>
        <v>sumabura</v>
      </c>
      <c r="D4" s="67"/>
      <c r="E4" s="67"/>
      <c r="F4" s="67"/>
      <c r="G4" s="68" t="s">
        <v>334</v>
      </c>
      <c r="H4" s="67"/>
      <c r="I4" s="67"/>
      <c r="J4" s="67"/>
      <c r="K4" s="69"/>
    </row>
    <row r="5" spans="1:12" ht="13.8" thickBot="1" x14ac:dyDescent="0.5">
      <c r="A5" s="31" t="str">
        <f>HYPERLINK("#テーブル一覧!A1","テーブル一覧に戻る")</f>
        <v>テーブル一覧に戻る</v>
      </c>
      <c r="B5" s="5"/>
      <c r="C5" s="5"/>
      <c r="D5" s="5"/>
      <c r="E5" s="5"/>
      <c r="F5" s="5"/>
      <c r="G5" s="5"/>
      <c r="H5" s="5"/>
      <c r="I5" s="5"/>
      <c r="J5" s="5"/>
      <c r="K5" s="6"/>
    </row>
    <row r="6" spans="1:12" x14ac:dyDescent="0.45">
      <c r="A6" s="14" t="s">
        <v>109</v>
      </c>
      <c r="B6" s="15" t="s">
        <v>108</v>
      </c>
      <c r="C6" s="15" t="s">
        <v>101</v>
      </c>
      <c r="D6" s="16" t="s">
        <v>100</v>
      </c>
      <c r="E6" s="16" t="s">
        <v>99</v>
      </c>
      <c r="F6" s="16" t="s">
        <v>98</v>
      </c>
      <c r="G6" s="16" t="s">
        <v>97</v>
      </c>
      <c r="H6" s="16" t="s">
        <v>96</v>
      </c>
      <c r="I6" s="16" t="s">
        <v>300</v>
      </c>
      <c r="J6" s="15" t="s">
        <v>95</v>
      </c>
      <c r="K6" s="17" t="s">
        <v>107</v>
      </c>
    </row>
    <row r="7" spans="1:12" x14ac:dyDescent="0.45">
      <c r="A7" s="18">
        <v>1</v>
      </c>
      <c r="B7" s="8" t="s">
        <v>289</v>
      </c>
      <c r="C7" s="8" t="s">
        <v>336</v>
      </c>
      <c r="D7" s="7" t="s">
        <v>163</v>
      </c>
      <c r="E7" s="9" t="s">
        <v>164</v>
      </c>
      <c r="F7" s="7" t="s">
        <v>94</v>
      </c>
      <c r="G7" s="7"/>
      <c r="H7" s="7" t="s">
        <v>104</v>
      </c>
      <c r="I7" s="7"/>
      <c r="J7" s="7"/>
      <c r="K7" s="19"/>
    </row>
    <row r="8" spans="1:12" x14ac:dyDescent="0.45">
      <c r="A8" s="18">
        <f t="shared" ref="A8:A13" si="0">A7+1</f>
        <v>2</v>
      </c>
      <c r="B8" s="8" t="s">
        <v>290</v>
      </c>
      <c r="C8" s="8" t="s">
        <v>337</v>
      </c>
      <c r="D8" s="7" t="s">
        <v>93</v>
      </c>
      <c r="E8" s="9">
        <v>30</v>
      </c>
      <c r="F8" s="7"/>
      <c r="G8" s="7"/>
      <c r="H8" s="7" t="s">
        <v>104</v>
      </c>
      <c r="I8" s="7"/>
      <c r="J8" s="7"/>
      <c r="K8" s="19" t="s">
        <v>284</v>
      </c>
    </row>
    <row r="9" spans="1:12" x14ac:dyDescent="0.45">
      <c r="A9" s="18">
        <f t="shared" si="0"/>
        <v>3</v>
      </c>
      <c r="B9" s="8" t="s">
        <v>291</v>
      </c>
      <c r="C9" s="10" t="s">
        <v>338</v>
      </c>
      <c r="D9" s="7" t="s">
        <v>103</v>
      </c>
      <c r="E9" s="7">
        <v>20</v>
      </c>
      <c r="F9" s="7"/>
      <c r="G9" s="7"/>
      <c r="H9" s="7" t="s">
        <v>104</v>
      </c>
      <c r="I9" s="7" t="s">
        <v>104</v>
      </c>
      <c r="J9" s="7"/>
      <c r="K9" s="19" t="s">
        <v>283</v>
      </c>
    </row>
    <row r="10" spans="1:12" x14ac:dyDescent="0.45">
      <c r="A10" s="18">
        <f t="shared" si="0"/>
        <v>4</v>
      </c>
      <c r="B10" s="8" t="s">
        <v>296</v>
      </c>
      <c r="C10" s="10" t="s">
        <v>301</v>
      </c>
      <c r="D10" s="7" t="s">
        <v>93</v>
      </c>
      <c r="E10" s="7">
        <v>8</v>
      </c>
      <c r="F10" s="7"/>
      <c r="G10" s="7"/>
      <c r="H10" s="7"/>
      <c r="I10" s="7"/>
      <c r="J10" s="7"/>
      <c r="K10" s="19"/>
    </row>
    <row r="11" spans="1:12" x14ac:dyDescent="0.45">
      <c r="A11" s="18">
        <f t="shared" si="0"/>
        <v>5</v>
      </c>
      <c r="B11" s="11" t="s">
        <v>159</v>
      </c>
      <c r="C11" s="10" t="s">
        <v>341</v>
      </c>
      <c r="D11" s="7" t="s">
        <v>163</v>
      </c>
      <c r="E11" s="7" t="s">
        <v>164</v>
      </c>
      <c r="F11" s="12"/>
      <c r="G11" s="12"/>
      <c r="H11" s="7"/>
      <c r="I11" s="13"/>
      <c r="J11" s="7"/>
      <c r="K11" s="20"/>
      <c r="L11" s="4"/>
    </row>
    <row r="12" spans="1:12" x14ac:dyDescent="0.45">
      <c r="A12" s="18">
        <f t="shared" si="0"/>
        <v>6</v>
      </c>
      <c r="B12" s="8" t="s">
        <v>160</v>
      </c>
      <c r="C12" s="10" t="s">
        <v>342</v>
      </c>
      <c r="D12" s="7" t="s">
        <v>163</v>
      </c>
      <c r="E12" s="7" t="s">
        <v>164</v>
      </c>
      <c r="F12" s="7"/>
      <c r="G12" s="7"/>
      <c r="H12" s="13" t="str">
        <f>IF(F12="○","〇","")</f>
        <v/>
      </c>
      <c r="I12" s="7"/>
      <c r="J12" s="13"/>
      <c r="K12" s="19"/>
    </row>
    <row r="13" spans="1:12" x14ac:dyDescent="0.45">
      <c r="A13" s="18">
        <f t="shared" si="0"/>
        <v>7</v>
      </c>
      <c r="B13" s="8" t="s">
        <v>161</v>
      </c>
      <c r="C13" s="10" t="s">
        <v>343</v>
      </c>
      <c r="D13" s="7" t="s">
        <v>163</v>
      </c>
      <c r="E13" s="7" t="s">
        <v>164</v>
      </c>
      <c r="F13" s="7"/>
      <c r="G13" s="7"/>
      <c r="H13" s="13"/>
      <c r="I13" s="13"/>
      <c r="J13" s="13"/>
      <c r="K13" s="19"/>
    </row>
    <row r="14" spans="1:12" x14ac:dyDescent="0.45">
      <c r="A14" s="18"/>
      <c r="B14" s="8"/>
      <c r="C14" s="8"/>
      <c r="D14" s="7"/>
      <c r="E14" s="7"/>
      <c r="F14" s="7"/>
      <c r="G14" s="7"/>
      <c r="H14" s="7"/>
      <c r="I14" s="13"/>
      <c r="J14" s="7"/>
      <c r="K14" s="19"/>
    </row>
    <row r="15" spans="1:12" ht="12.6" thickBot="1" x14ac:dyDescent="0.5">
      <c r="A15" s="21"/>
      <c r="B15" s="22"/>
      <c r="C15" s="22"/>
      <c r="D15" s="23"/>
      <c r="E15" s="23"/>
      <c r="F15" s="23"/>
      <c r="G15" s="23"/>
      <c r="H15" s="23"/>
      <c r="I15" s="23"/>
      <c r="J15" s="23"/>
      <c r="K15" s="24"/>
    </row>
    <row r="18" spans="2:3" x14ac:dyDescent="0.45">
      <c r="B18" s="3" t="s">
        <v>311</v>
      </c>
    </row>
    <row r="19" spans="2:3" x14ac:dyDescent="0.45">
      <c r="B19" s="37" t="s">
        <v>87</v>
      </c>
      <c r="C19" s="38" t="s">
        <v>308</v>
      </c>
    </row>
    <row r="20" spans="2:3" x14ac:dyDescent="0.45">
      <c r="B20" s="37" t="s">
        <v>85</v>
      </c>
      <c r="C20" s="38" t="s">
        <v>309</v>
      </c>
    </row>
    <row r="21" spans="2:3" x14ac:dyDescent="0.45">
      <c r="B21" s="37" t="s">
        <v>86</v>
      </c>
      <c r="C21" s="38" t="s">
        <v>310</v>
      </c>
    </row>
    <row r="22" spans="2:3" x14ac:dyDescent="0.45">
      <c r="B22" s="37" t="s">
        <v>84</v>
      </c>
      <c r="C22" s="38" t="s">
        <v>312</v>
      </c>
    </row>
    <row r="23" spans="2:3" x14ac:dyDescent="0.45">
      <c r="B23" s="37" t="s">
        <v>83</v>
      </c>
      <c r="C23" s="38" t="s">
        <v>313</v>
      </c>
    </row>
    <row r="24" spans="2:3" x14ac:dyDescent="0.45">
      <c r="B24" s="37" t="s">
        <v>88</v>
      </c>
      <c r="C24" s="38" t="s">
        <v>314</v>
      </c>
    </row>
    <row r="25" spans="2:3" x14ac:dyDescent="0.45">
      <c r="B25" s="37" t="s">
        <v>316</v>
      </c>
      <c r="C25" s="38" t="s">
        <v>315</v>
      </c>
    </row>
  </sheetData>
  <mergeCells count="9">
    <mergeCell ref="A1:B4"/>
    <mergeCell ref="C1:F1"/>
    <mergeCell ref="G1:K1"/>
    <mergeCell ref="C2:F2"/>
    <mergeCell ref="G2:K2"/>
    <mergeCell ref="C3:F3"/>
    <mergeCell ref="G3:K3"/>
    <mergeCell ref="C4:F4"/>
    <mergeCell ref="G4:K4"/>
  </mergeCells>
  <phoneticPr fontId="2"/>
  <pageMargins left="0.78740157480314965" right="0.78740157480314965" top="0.59055118110236227" bottom="0.6692913385826772" header="0.31496062992125984" footer="0.43307086614173229"/>
  <pageSetup paperSize="9" scale="75" orientation="landscape" r:id="rId1"/>
  <headerFooter>
    <oddFooter>&amp;L&amp;"HG丸ｺﾞｼｯｸM-PRO,標準"&amp;7オープン系SI標準フレームワーク&amp;"ＭＳ Ｐゴシック,標準"&amp;8
&amp;"ＭＳ ゴシック,標準"[様式] エンティティ定義書（第3.0版）&amp;C&amp;"ＭＳ ゴシック,標準"&amp;9- &amp;P -&amp;R&amp;G</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A35F8-CC27-444A-AE14-6D8847B20CA6}">
  <sheetPr codeName="Sheet7"/>
  <dimension ref="A1:G11"/>
  <sheetViews>
    <sheetView zoomScale="85" zoomScaleNormal="85" workbookViewId="0">
      <pane ySplit="4" topLeftCell="A5" activePane="bottomLeft" state="frozen"/>
      <selection pane="bottomLeft"/>
    </sheetView>
  </sheetViews>
  <sheetFormatPr defaultColWidth="8.69921875" defaultRowHeight="13.2" x14ac:dyDescent="0.45"/>
  <cols>
    <col min="1" max="1" width="4.69921875" style="1" customWidth="1"/>
    <col min="2" max="2" width="19.3984375" style="1" bestFit="1" customWidth="1"/>
    <col min="3" max="3" width="10.8984375" style="1" customWidth="1"/>
    <col min="4" max="4" width="8.69921875" style="1" customWidth="1"/>
    <col min="5" max="7" width="14.69921875" style="1" customWidth="1"/>
    <col min="8" max="16384" width="8.69921875" style="1"/>
  </cols>
  <sheetData>
    <row r="1" spans="1:7" x14ac:dyDescent="0.45">
      <c r="A1" s="31" t="str">
        <f>HYPERLINK("#テーブル一覧!A1","テーブル一覧に戻る")</f>
        <v>テーブル一覧に戻る</v>
      </c>
    </row>
    <row r="3" spans="1:7" ht="13.2" customHeight="1" x14ac:dyDescent="0.45">
      <c r="A3" s="8" t="s">
        <v>289</v>
      </c>
      <c r="B3" s="8" t="s">
        <v>290</v>
      </c>
      <c r="C3" s="8" t="s">
        <v>291</v>
      </c>
      <c r="D3" s="8" t="s">
        <v>296</v>
      </c>
      <c r="E3" s="11" t="s">
        <v>159</v>
      </c>
      <c r="F3" s="8" t="s">
        <v>160</v>
      </c>
      <c r="G3" s="8" t="s">
        <v>161</v>
      </c>
    </row>
    <row r="4" spans="1:7" ht="13.2" customHeight="1" x14ac:dyDescent="0.45">
      <c r="A4" s="8" t="s">
        <v>336</v>
      </c>
      <c r="B4" s="8" t="s">
        <v>337</v>
      </c>
      <c r="C4" s="10" t="s">
        <v>338</v>
      </c>
      <c r="D4" s="10" t="s">
        <v>301</v>
      </c>
      <c r="E4" s="10" t="s">
        <v>341</v>
      </c>
      <c r="F4" s="10" t="s">
        <v>342</v>
      </c>
      <c r="G4" s="10" t="s">
        <v>343</v>
      </c>
    </row>
    <row r="5" spans="1:7" x14ac:dyDescent="0.45">
      <c r="A5" s="2">
        <v>7</v>
      </c>
      <c r="B5" s="2" t="s">
        <v>89</v>
      </c>
      <c r="C5" s="2" t="str">
        <f>VLOOKUP(B5,D.ファイターリスト!$B$5:$C$86,2,FALSE)</f>
        <v>CB</v>
      </c>
      <c r="D5" s="2" t="s">
        <v>308</v>
      </c>
      <c r="E5" s="2">
        <v>1269</v>
      </c>
      <c r="F5" s="2">
        <v>1261</v>
      </c>
      <c r="G5" s="2">
        <v>1220</v>
      </c>
    </row>
    <row r="6" spans="1:7" x14ac:dyDescent="0.45">
      <c r="A6" s="2">
        <v>86</v>
      </c>
      <c r="B6" s="2" t="s">
        <v>297</v>
      </c>
      <c r="C6" s="2" t="str">
        <f>VLOOKUP(B6,D.ファイターリスト!$B$5:$C$86,2,FALSE)</f>
        <v>ソラ</v>
      </c>
      <c r="D6" s="2" t="s">
        <v>309</v>
      </c>
      <c r="E6" s="2">
        <v>1021</v>
      </c>
      <c r="F6" s="2">
        <v>1019</v>
      </c>
      <c r="G6" s="2">
        <v>900</v>
      </c>
    </row>
    <row r="7" spans="1:7" x14ac:dyDescent="0.45">
      <c r="A7" s="2">
        <v>26</v>
      </c>
      <c r="B7" s="2" t="s">
        <v>90</v>
      </c>
      <c r="C7" s="2" t="str">
        <f>VLOOKUP(B7,D.ファイターリスト!$B$5:$C$86,2,FALSE)</f>
        <v>ガノン</v>
      </c>
      <c r="D7" s="2" t="s">
        <v>310</v>
      </c>
      <c r="E7" s="2">
        <v>856</v>
      </c>
      <c r="F7" s="2">
        <v>524</v>
      </c>
      <c r="G7" s="2">
        <v>859</v>
      </c>
    </row>
    <row r="8" spans="1:7" x14ac:dyDescent="0.45">
      <c r="A8" s="2">
        <v>57</v>
      </c>
      <c r="B8" s="2" t="s">
        <v>298</v>
      </c>
      <c r="C8" s="2" t="str">
        <f>VLOOKUP(B8,D.ファイターリスト!$B$5:$C$86,2,FALSE)</f>
        <v>パルテナ</v>
      </c>
      <c r="D8" s="2" t="s">
        <v>312</v>
      </c>
      <c r="E8" s="2">
        <v>835</v>
      </c>
      <c r="F8" s="2">
        <v>831</v>
      </c>
      <c r="G8" s="2">
        <v>801</v>
      </c>
    </row>
    <row r="9" spans="1:7" x14ac:dyDescent="0.45">
      <c r="A9" s="2">
        <v>12</v>
      </c>
      <c r="B9" s="2" t="s">
        <v>91</v>
      </c>
      <c r="C9" s="2" t="str">
        <f>VLOOKUP(B9,D.ファイターリスト!$B$5:$C$86,2,FALSE)</f>
        <v>CF</v>
      </c>
      <c r="D9" s="2" t="s">
        <v>313</v>
      </c>
      <c r="E9" s="2">
        <v>860</v>
      </c>
      <c r="F9" s="2">
        <v>839</v>
      </c>
      <c r="G9" s="2">
        <v>381</v>
      </c>
    </row>
    <row r="10" spans="1:7" x14ac:dyDescent="0.45">
      <c r="A10" s="2">
        <v>27</v>
      </c>
      <c r="B10" s="2" t="s">
        <v>92</v>
      </c>
      <c r="C10" s="2" t="str">
        <f>VLOOKUP(B10,D.ファイターリスト!$B$5:$C$86,2,FALSE)</f>
        <v>M2</v>
      </c>
      <c r="D10" s="2" t="s">
        <v>314</v>
      </c>
      <c r="E10" s="2">
        <v>843</v>
      </c>
      <c r="F10" s="2">
        <v>839</v>
      </c>
      <c r="G10" s="2">
        <v>750</v>
      </c>
    </row>
    <row r="11" spans="1:7" x14ac:dyDescent="0.45">
      <c r="A11" s="2">
        <v>16</v>
      </c>
      <c r="B11" s="2" t="s">
        <v>5</v>
      </c>
      <c r="C11" s="2" t="str">
        <f>VLOOKUP(B11,D.ファイターリスト!$B$5:$C$86,2,FALSE)</f>
        <v>カメ</v>
      </c>
      <c r="D11" s="2" t="s">
        <v>308</v>
      </c>
      <c r="E11" s="2">
        <v>737</v>
      </c>
      <c r="F11" s="2">
        <v>610</v>
      </c>
      <c r="G11" s="2">
        <v>345</v>
      </c>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698A2-2A45-4484-A3C6-9DA4F88EF3C1}">
  <sheetPr codeName="Sheet10"/>
  <dimension ref="A1:L17"/>
  <sheetViews>
    <sheetView showGridLines="0" zoomScaleNormal="100" workbookViewId="0">
      <pane ySplit="6" topLeftCell="A7" activePane="bottomLeft" state="frozen"/>
      <selection activeCell="C20" sqref="C20"/>
      <selection pane="bottomLeft" sqref="A1:B4"/>
    </sheetView>
  </sheetViews>
  <sheetFormatPr defaultColWidth="7.19921875" defaultRowHeight="12" x14ac:dyDescent="0.45"/>
  <cols>
    <col min="1" max="1" width="4.69921875" style="3" customWidth="1"/>
    <col min="2" max="3" width="16.69921875" style="3" customWidth="1"/>
    <col min="4" max="4" width="8.69921875" style="36" customWidth="1"/>
    <col min="5" max="9" width="4.69921875" style="3" customWidth="1"/>
    <col min="10" max="10" width="10.69921875" style="3" customWidth="1"/>
    <col min="11" max="11" width="18.69921875" style="3" customWidth="1"/>
    <col min="12" max="16384" width="7.19921875" style="3"/>
  </cols>
  <sheetData>
    <row r="1" spans="1:12" x14ac:dyDescent="0.45">
      <c r="A1" s="40" t="s">
        <v>106</v>
      </c>
      <c r="B1" s="41"/>
      <c r="C1" s="58" t="s">
        <v>162</v>
      </c>
      <c r="D1" s="58"/>
      <c r="E1" s="58"/>
      <c r="F1" s="58"/>
      <c r="G1" s="59" t="s">
        <v>110</v>
      </c>
      <c r="H1" s="58"/>
      <c r="I1" s="58"/>
      <c r="J1" s="58"/>
      <c r="K1" s="60"/>
    </row>
    <row r="2" spans="1:12" x14ac:dyDescent="0.45">
      <c r="A2" s="42"/>
      <c r="B2" s="43"/>
      <c r="C2" s="61" t="str">
        <f>テーブル一覧!$C$2</f>
        <v>スマブラツール</v>
      </c>
      <c r="D2" s="61"/>
      <c r="E2" s="61"/>
      <c r="F2" s="61"/>
      <c r="G2" s="62" t="s">
        <v>299</v>
      </c>
      <c r="H2" s="61"/>
      <c r="I2" s="61"/>
      <c r="J2" s="61"/>
      <c r="K2" s="63"/>
    </row>
    <row r="3" spans="1:12" x14ac:dyDescent="0.45">
      <c r="A3" s="42"/>
      <c r="B3" s="43"/>
      <c r="C3" s="64" t="s">
        <v>165</v>
      </c>
      <c r="D3" s="64"/>
      <c r="E3" s="64"/>
      <c r="F3" s="64"/>
      <c r="G3" s="65" t="s">
        <v>111</v>
      </c>
      <c r="H3" s="64"/>
      <c r="I3" s="64"/>
      <c r="J3" s="64"/>
      <c r="K3" s="66"/>
    </row>
    <row r="4" spans="1:12" ht="12.6" thickBot="1" x14ac:dyDescent="0.5">
      <c r="A4" s="44"/>
      <c r="B4" s="45"/>
      <c r="C4" s="67" t="str">
        <f>テーブル一覧!$C$4</f>
        <v>sumabura</v>
      </c>
      <c r="D4" s="67"/>
      <c r="E4" s="67"/>
      <c r="F4" s="67"/>
      <c r="G4" s="68" t="s">
        <v>335</v>
      </c>
      <c r="H4" s="67"/>
      <c r="I4" s="67"/>
      <c r="J4" s="67"/>
      <c r="K4" s="69"/>
    </row>
    <row r="5" spans="1:12" ht="13.8" thickBot="1" x14ac:dyDescent="0.5">
      <c r="A5" s="31" t="str">
        <f>HYPERLINK("#テーブル一覧!A1","テーブル一覧に戻る")</f>
        <v>テーブル一覧に戻る</v>
      </c>
      <c r="B5" s="5"/>
      <c r="C5" s="5"/>
      <c r="D5" s="5"/>
      <c r="E5" s="5"/>
      <c r="F5" s="5"/>
      <c r="G5" s="5"/>
      <c r="H5" s="5"/>
      <c r="I5" s="5"/>
      <c r="J5" s="5"/>
      <c r="K5" s="6"/>
    </row>
    <row r="6" spans="1:12" x14ac:dyDescent="0.45">
      <c r="A6" s="14" t="s">
        <v>109</v>
      </c>
      <c r="B6" s="15" t="s">
        <v>108</v>
      </c>
      <c r="C6" s="15" t="s">
        <v>101</v>
      </c>
      <c r="D6" s="16" t="s">
        <v>100</v>
      </c>
      <c r="E6" s="16" t="s">
        <v>99</v>
      </c>
      <c r="F6" s="16" t="s">
        <v>98</v>
      </c>
      <c r="G6" s="16" t="s">
        <v>97</v>
      </c>
      <c r="H6" s="16" t="s">
        <v>96</v>
      </c>
      <c r="I6" s="16" t="s">
        <v>300</v>
      </c>
      <c r="J6" s="15" t="s">
        <v>95</v>
      </c>
      <c r="K6" s="17" t="s">
        <v>107</v>
      </c>
    </row>
    <row r="7" spans="1:12" x14ac:dyDescent="0.45">
      <c r="A7" s="18">
        <v>1</v>
      </c>
      <c r="B7" s="8" t="s">
        <v>307</v>
      </c>
      <c r="C7" s="8" t="s">
        <v>344</v>
      </c>
      <c r="D7" s="7" t="s">
        <v>163</v>
      </c>
      <c r="E7" s="9" t="s">
        <v>164</v>
      </c>
      <c r="F7" s="7" t="s">
        <v>104</v>
      </c>
      <c r="G7" s="7"/>
      <c r="H7" s="7" t="s">
        <v>104</v>
      </c>
      <c r="I7" s="7"/>
      <c r="J7" s="7"/>
      <c r="K7" s="19"/>
    </row>
    <row r="8" spans="1:12" x14ac:dyDescent="0.45">
      <c r="A8" s="18">
        <f t="shared" ref="A8:A15" si="0">A7+1</f>
        <v>2</v>
      </c>
      <c r="B8" s="8" t="s">
        <v>306</v>
      </c>
      <c r="C8" s="8" t="s">
        <v>345</v>
      </c>
      <c r="D8" s="7" t="s">
        <v>103</v>
      </c>
      <c r="E8" s="9">
        <v>30</v>
      </c>
      <c r="F8" s="7"/>
      <c r="G8" s="7"/>
      <c r="H8" s="7" t="s">
        <v>104</v>
      </c>
      <c r="I8" s="7"/>
      <c r="J8" s="7"/>
      <c r="K8" s="19" t="s">
        <v>284</v>
      </c>
    </row>
    <row r="9" spans="1:12" x14ac:dyDescent="0.45">
      <c r="A9" s="18">
        <f t="shared" si="0"/>
        <v>3</v>
      </c>
      <c r="B9" s="8" t="s">
        <v>305</v>
      </c>
      <c r="C9" s="10" t="s">
        <v>340</v>
      </c>
      <c r="D9" s="7" t="s">
        <v>103</v>
      </c>
      <c r="E9" s="7">
        <v>20</v>
      </c>
      <c r="F9" s="7"/>
      <c r="G9" s="7"/>
      <c r="H9" s="7" t="s">
        <v>104</v>
      </c>
      <c r="I9" s="7" t="s">
        <v>104</v>
      </c>
      <c r="J9" s="7"/>
      <c r="K9" s="19" t="s">
        <v>283</v>
      </c>
    </row>
    <row r="10" spans="1:12" x14ac:dyDescent="0.45">
      <c r="A10" s="18">
        <f t="shared" si="0"/>
        <v>4</v>
      </c>
      <c r="B10" s="8" t="s">
        <v>302</v>
      </c>
      <c r="C10" s="8" t="s">
        <v>336</v>
      </c>
      <c r="D10" s="7" t="s">
        <v>163</v>
      </c>
      <c r="E10" s="9" t="s">
        <v>164</v>
      </c>
      <c r="F10" s="7" t="s">
        <v>104</v>
      </c>
      <c r="G10" s="7"/>
      <c r="H10" s="7" t="s">
        <v>104</v>
      </c>
      <c r="I10" s="7"/>
      <c r="J10" s="7"/>
      <c r="K10" s="19"/>
    </row>
    <row r="11" spans="1:12" x14ac:dyDescent="0.45">
      <c r="A11" s="18">
        <f t="shared" si="0"/>
        <v>5</v>
      </c>
      <c r="B11" s="8" t="s">
        <v>303</v>
      </c>
      <c r="C11" s="8" t="s">
        <v>337</v>
      </c>
      <c r="D11" s="7" t="s">
        <v>103</v>
      </c>
      <c r="E11" s="9">
        <v>30</v>
      </c>
      <c r="F11" s="12"/>
      <c r="G11" s="12"/>
      <c r="H11" s="7" t="s">
        <v>104</v>
      </c>
      <c r="I11" s="7"/>
      <c r="J11" s="7"/>
      <c r="K11" s="20" t="s">
        <v>284</v>
      </c>
      <c r="L11" s="4"/>
    </row>
    <row r="12" spans="1:12" x14ac:dyDescent="0.45">
      <c r="A12" s="18">
        <f t="shared" si="0"/>
        <v>6</v>
      </c>
      <c r="B12" s="8" t="s">
        <v>304</v>
      </c>
      <c r="C12" s="10" t="s">
        <v>338</v>
      </c>
      <c r="D12" s="7" t="s">
        <v>103</v>
      </c>
      <c r="E12" s="7">
        <v>20</v>
      </c>
      <c r="F12" s="7"/>
      <c r="G12" s="7"/>
      <c r="H12" s="7" t="s">
        <v>104</v>
      </c>
      <c r="I12" s="7" t="s">
        <v>104</v>
      </c>
      <c r="J12" s="7"/>
      <c r="K12" s="20" t="s">
        <v>283</v>
      </c>
      <c r="L12" s="4"/>
    </row>
    <row r="13" spans="1:12" x14ac:dyDescent="0.45">
      <c r="A13" s="18">
        <f t="shared" si="0"/>
        <v>7</v>
      </c>
      <c r="B13" s="8" t="s">
        <v>171</v>
      </c>
      <c r="C13" s="10" t="s">
        <v>292</v>
      </c>
      <c r="D13" s="7" t="s">
        <v>102</v>
      </c>
      <c r="E13" s="9" t="s">
        <v>164</v>
      </c>
      <c r="F13" s="7"/>
      <c r="G13" s="7"/>
      <c r="H13" s="13"/>
      <c r="I13" s="13"/>
      <c r="J13" s="13"/>
      <c r="K13" s="19"/>
    </row>
    <row r="14" spans="1:12" x14ac:dyDescent="0.45">
      <c r="A14" s="18">
        <f t="shared" si="0"/>
        <v>8</v>
      </c>
      <c r="B14" s="8" t="s">
        <v>170</v>
      </c>
      <c r="C14" s="10" t="s">
        <v>293</v>
      </c>
      <c r="D14" s="7" t="s">
        <v>102</v>
      </c>
      <c r="E14" s="9" t="s">
        <v>164</v>
      </c>
      <c r="F14" s="7"/>
      <c r="G14" s="7"/>
      <c r="H14" s="13"/>
      <c r="I14" s="13"/>
      <c r="J14" s="13"/>
      <c r="K14" s="19"/>
    </row>
    <row r="15" spans="1:12" x14ac:dyDescent="0.45">
      <c r="A15" s="18">
        <f t="shared" si="0"/>
        <v>9</v>
      </c>
      <c r="B15" s="8" t="s">
        <v>172</v>
      </c>
      <c r="C15" s="8" t="s">
        <v>294</v>
      </c>
      <c r="D15" s="7" t="s">
        <v>93</v>
      </c>
      <c r="E15" s="7">
        <v>1000</v>
      </c>
      <c r="F15" s="12"/>
      <c r="G15" s="12"/>
      <c r="H15" s="7"/>
      <c r="I15" s="13"/>
      <c r="J15" s="9"/>
      <c r="K15" s="20" t="s">
        <v>295</v>
      </c>
    </row>
    <row r="16" spans="1:12" x14ac:dyDescent="0.45">
      <c r="A16" s="18"/>
      <c r="B16" s="8"/>
      <c r="C16" s="8"/>
      <c r="D16" s="7"/>
      <c r="E16" s="7"/>
      <c r="F16" s="7"/>
      <c r="G16" s="7"/>
      <c r="H16" s="7"/>
      <c r="I16" s="13"/>
      <c r="J16" s="7"/>
      <c r="K16" s="19"/>
    </row>
    <row r="17" spans="1:11" ht="12.6" thickBot="1" x14ac:dyDescent="0.5">
      <c r="A17" s="21"/>
      <c r="B17" s="22"/>
      <c r="C17" s="22"/>
      <c r="D17" s="23"/>
      <c r="E17" s="23"/>
      <c r="F17" s="23"/>
      <c r="G17" s="23"/>
      <c r="H17" s="23"/>
      <c r="I17" s="23"/>
      <c r="J17" s="23"/>
      <c r="K17" s="24"/>
    </row>
  </sheetData>
  <mergeCells count="9">
    <mergeCell ref="A1:B4"/>
    <mergeCell ref="C1:F1"/>
    <mergeCell ref="G1:K1"/>
    <mergeCell ref="C2:F2"/>
    <mergeCell ref="G2:K2"/>
    <mergeCell ref="C3:F3"/>
    <mergeCell ref="G3:K3"/>
    <mergeCell ref="C4:F4"/>
    <mergeCell ref="G4:K4"/>
  </mergeCells>
  <phoneticPr fontId="2"/>
  <pageMargins left="0.78740157480314965" right="0.78740157480314965" top="0.59055118110236227" bottom="0.6692913385826772" header="0.31496062992125984" footer="0.43307086614173229"/>
  <pageSetup paperSize="9" scale="75" orientation="landscape" r:id="rId1"/>
  <headerFooter>
    <oddFooter>&amp;L&amp;"HG丸ｺﾞｼｯｸM-PRO,標準"&amp;7オープン系SI標準フレームワーク&amp;"ＭＳ Ｐゴシック,標準"&amp;8
&amp;"ＭＳ ゴシック,標準"[様式] エンティティ定義書（第3.0版）&amp;C&amp;"ＭＳ ゴシック,標準"&amp;9- &amp;P -&amp;R&amp;G</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361BB-1CD4-4FA3-8828-ACA1C3806F12}">
  <sheetPr codeName="Sheet11"/>
  <dimension ref="A1:I578"/>
  <sheetViews>
    <sheetView zoomScale="85" zoomScaleNormal="85" workbookViewId="0">
      <pane ySplit="4" topLeftCell="A75" activePane="bottomLeft" state="frozen"/>
      <selection pane="bottomLeft"/>
    </sheetView>
  </sheetViews>
  <sheetFormatPr defaultColWidth="18.09765625" defaultRowHeight="13.2" x14ac:dyDescent="0.45"/>
  <cols>
    <col min="1" max="1" width="7.3984375" style="1" customWidth="1"/>
    <col min="2" max="2" width="18.296875" style="1" customWidth="1"/>
    <col min="3" max="3" width="12.69921875" style="1" customWidth="1"/>
    <col min="4" max="4" width="8.19921875" style="1" customWidth="1"/>
    <col min="5" max="5" width="19.3984375" style="1" bestFit="1" customWidth="1"/>
    <col min="6" max="6" width="11.69921875" style="1" customWidth="1"/>
    <col min="7" max="7" width="9.5" style="1" bestFit="1" customWidth="1"/>
    <col min="8" max="8" width="10.3984375" style="1" bestFit="1" customWidth="1"/>
    <col min="9" max="9" width="51.19921875" style="1" customWidth="1"/>
    <col min="10" max="16384" width="18.09765625" style="1"/>
  </cols>
  <sheetData>
    <row r="1" spans="1:9" x14ac:dyDescent="0.45">
      <c r="A1" s="35" t="str">
        <f>HYPERLINK("#テーブル一覧!A1","テーブル一覧に戻る")</f>
        <v>テーブル一覧に戻る</v>
      </c>
    </row>
    <row r="2" spans="1:9" x14ac:dyDescent="0.45">
      <c r="I2" s="1" t="s">
        <v>285</v>
      </c>
    </row>
    <row r="3" spans="1:9" ht="24" x14ac:dyDescent="0.45">
      <c r="A3" s="8" t="s">
        <v>307</v>
      </c>
      <c r="B3" s="8" t="s">
        <v>306</v>
      </c>
      <c r="C3" s="8" t="s">
        <v>305</v>
      </c>
      <c r="D3" s="8" t="s">
        <v>302</v>
      </c>
      <c r="E3" s="8" t="s">
        <v>303</v>
      </c>
      <c r="F3" s="8" t="s">
        <v>304</v>
      </c>
      <c r="G3" s="8" t="s">
        <v>171</v>
      </c>
      <c r="H3" s="8" t="s">
        <v>170</v>
      </c>
      <c r="I3" s="8" t="s">
        <v>172</v>
      </c>
    </row>
    <row r="4" spans="1:9" x14ac:dyDescent="0.45">
      <c r="A4" s="8" t="s">
        <v>344</v>
      </c>
      <c r="B4" s="8" t="s">
        <v>345</v>
      </c>
      <c r="C4" s="10" t="s">
        <v>340</v>
      </c>
      <c r="D4" s="8" t="s">
        <v>336</v>
      </c>
      <c r="E4" s="8" t="s">
        <v>337</v>
      </c>
      <c r="F4" s="10" t="s">
        <v>338</v>
      </c>
      <c r="G4" s="10" t="s">
        <v>292</v>
      </c>
      <c r="H4" s="10" t="s">
        <v>293</v>
      </c>
      <c r="I4" s="8" t="s">
        <v>294</v>
      </c>
    </row>
    <row r="5" spans="1:9" ht="48" x14ac:dyDescent="0.45">
      <c r="A5" s="2">
        <v>7</v>
      </c>
      <c r="B5" s="2" t="s">
        <v>89</v>
      </c>
      <c r="C5" s="2" t="str">
        <f>VLOOKUP(B5,D.ファイターリスト!$B$5:$C$86,2,FALSE)</f>
        <v>CB</v>
      </c>
      <c r="D5" s="2">
        <v>1</v>
      </c>
      <c r="E5" s="2" t="s">
        <v>70</v>
      </c>
      <c r="F5" s="2" t="str">
        <f>VLOOKUP(E5,D.ファイターリスト!$B$5:$C$86,2,FALSE)</f>
        <v>マリオ</v>
      </c>
      <c r="G5" s="2">
        <v>30</v>
      </c>
      <c r="H5" s="2">
        <v>11</v>
      </c>
      <c r="I5" s="33" t="s">
        <v>173</v>
      </c>
    </row>
    <row r="6" spans="1:9" ht="48" x14ac:dyDescent="0.45">
      <c r="A6" s="2">
        <v>7</v>
      </c>
      <c r="B6" s="2" t="s">
        <v>89</v>
      </c>
      <c r="C6" s="2" t="str">
        <f>VLOOKUP(B6,D.ファイターリスト!$B$5:$C$86,2,FALSE)</f>
        <v>CB</v>
      </c>
      <c r="D6" s="2">
        <v>2</v>
      </c>
      <c r="E6" s="2" t="s">
        <v>71</v>
      </c>
      <c r="F6" s="2" t="str">
        <f>VLOOKUP(E6,D.ファイターリスト!$B$5:$C$86,2,FALSE)</f>
        <v>DK</v>
      </c>
      <c r="G6" s="2">
        <v>20</v>
      </c>
      <c r="H6" s="2">
        <v>18</v>
      </c>
      <c r="I6" s="33" t="s">
        <v>174</v>
      </c>
    </row>
    <row r="7" spans="1:9" x14ac:dyDescent="0.45">
      <c r="A7" s="2">
        <v>7</v>
      </c>
      <c r="B7" s="2" t="s">
        <v>89</v>
      </c>
      <c r="C7" s="2" t="str">
        <f>VLOOKUP(B7,D.ファイターリスト!$B$5:$C$86,2,FALSE)</f>
        <v>CB</v>
      </c>
      <c r="D7" s="2">
        <v>3</v>
      </c>
      <c r="E7" s="2" t="s">
        <v>72</v>
      </c>
      <c r="F7" s="2" t="str">
        <f>VLOOKUP(E7,D.ファイターリスト!$B$5:$C$86,2,FALSE)</f>
        <v>リンク</v>
      </c>
      <c r="G7" s="2">
        <v>5</v>
      </c>
      <c r="H7" s="2">
        <v>5</v>
      </c>
      <c r="I7" s="33" t="s">
        <v>175</v>
      </c>
    </row>
    <row r="8" spans="1:9" ht="28.8" x14ac:dyDescent="0.45">
      <c r="A8" s="2">
        <v>7</v>
      </c>
      <c r="B8" s="2" t="s">
        <v>89</v>
      </c>
      <c r="C8" s="2" t="str">
        <f>VLOOKUP(B8,D.ファイターリスト!$B$5:$C$86,2,FALSE)</f>
        <v>CB</v>
      </c>
      <c r="D8" s="2">
        <v>4</v>
      </c>
      <c r="E8" s="2" t="s">
        <v>114</v>
      </c>
      <c r="F8" s="2" t="str">
        <f>VLOOKUP(E8,D.ファイターリスト!$B$5:$C$86,2,FALSE)</f>
        <v>ダムス</v>
      </c>
      <c r="G8" s="2">
        <v>8</v>
      </c>
      <c r="H8" s="2">
        <v>8</v>
      </c>
      <c r="I8" s="33" t="s">
        <v>176</v>
      </c>
    </row>
    <row r="9" spans="1:9" ht="67.2" x14ac:dyDescent="0.45">
      <c r="A9" s="2">
        <v>7</v>
      </c>
      <c r="B9" s="2" t="s">
        <v>89</v>
      </c>
      <c r="C9" s="2" t="str">
        <f>VLOOKUP(B9,D.ファイターリスト!$B$5:$C$86,2,FALSE)</f>
        <v>CB</v>
      </c>
      <c r="D9" s="2">
        <v>6</v>
      </c>
      <c r="E9" s="2" t="s">
        <v>116</v>
      </c>
      <c r="F9" s="2" t="str">
        <f>VLOOKUP(E9,D.ファイターリスト!$B$5:$C$86,2,FALSE)</f>
        <v>ヨッシー</v>
      </c>
      <c r="G9" s="2">
        <v>4</v>
      </c>
      <c r="H9" s="2">
        <v>1</v>
      </c>
      <c r="I9" s="33" t="s">
        <v>177</v>
      </c>
    </row>
    <row r="10" spans="1:9" ht="38.4" x14ac:dyDescent="0.45">
      <c r="A10" s="2">
        <v>7</v>
      </c>
      <c r="B10" s="2" t="s">
        <v>89</v>
      </c>
      <c r="C10" s="2" t="str">
        <f>VLOOKUP(B10,D.ファイターリスト!$B$5:$C$86,2,FALSE)</f>
        <v>CB</v>
      </c>
      <c r="D10" s="2">
        <v>7</v>
      </c>
      <c r="E10" s="2" t="s">
        <v>73</v>
      </c>
      <c r="F10" s="2" t="str">
        <f>VLOOKUP(E10,D.ファイターリスト!$B$5:$C$86,2,FALSE)</f>
        <v>CB</v>
      </c>
      <c r="G10" s="2">
        <v>12</v>
      </c>
      <c r="H10" s="2">
        <v>18</v>
      </c>
      <c r="I10" s="33" t="s">
        <v>178</v>
      </c>
    </row>
    <row r="11" spans="1:9" ht="38.4" x14ac:dyDescent="0.45">
      <c r="A11" s="2">
        <v>7</v>
      </c>
      <c r="B11" s="2" t="s">
        <v>89</v>
      </c>
      <c r="C11" s="2" t="str">
        <f>VLOOKUP(B11,D.ファイターリスト!$B$5:$C$86,2,FALSE)</f>
        <v>CB</v>
      </c>
      <c r="D11" s="2">
        <v>8</v>
      </c>
      <c r="E11" s="2" t="s">
        <v>74</v>
      </c>
      <c r="F11" s="2" t="str">
        <f>VLOOKUP(E11,D.ファイターリスト!$B$5:$C$86,2,FALSE)</f>
        <v>FX</v>
      </c>
      <c r="G11" s="2">
        <v>3</v>
      </c>
      <c r="H11" s="2">
        <v>4</v>
      </c>
      <c r="I11" s="33" t="s">
        <v>179</v>
      </c>
    </row>
    <row r="12" spans="1:9" ht="19.2" x14ac:dyDescent="0.45">
      <c r="A12" s="2">
        <v>7</v>
      </c>
      <c r="B12" s="2" t="s">
        <v>73</v>
      </c>
      <c r="C12" s="2" t="str">
        <f>VLOOKUP(B12,D.ファイターリスト!$B$5:$C$86,2,FALSE)</f>
        <v>CB</v>
      </c>
      <c r="D12" s="2">
        <v>9</v>
      </c>
      <c r="E12" s="2" t="s">
        <v>75</v>
      </c>
      <c r="F12" s="2" t="str">
        <f>VLOOKUP(E12,D.ファイターリスト!$B$5:$C$86,2,FALSE)</f>
        <v>ピカ</v>
      </c>
      <c r="G12" s="2">
        <v>8</v>
      </c>
      <c r="H12" s="2">
        <v>5</v>
      </c>
      <c r="I12" s="33" t="s">
        <v>180</v>
      </c>
    </row>
    <row r="13" spans="1:9" ht="28.8" x14ac:dyDescent="0.45">
      <c r="A13" s="2">
        <v>7</v>
      </c>
      <c r="B13" s="2" t="s">
        <v>73</v>
      </c>
      <c r="C13" s="2" t="str">
        <f>VLOOKUP(B13,D.ファイターリスト!$B$5:$C$86,2,FALSE)</f>
        <v>CB</v>
      </c>
      <c r="D13" s="2">
        <v>10</v>
      </c>
      <c r="E13" s="2" t="s">
        <v>2</v>
      </c>
      <c r="F13" s="2" t="str">
        <f>VLOOKUP(E13,D.ファイターリスト!$B$5:$C$86,2,FALSE)</f>
        <v>L</v>
      </c>
      <c r="G13" s="2">
        <v>1</v>
      </c>
      <c r="H13" s="2">
        <v>6</v>
      </c>
      <c r="I13" s="33" t="s">
        <v>181</v>
      </c>
    </row>
    <row r="14" spans="1:9" ht="38.4" x14ac:dyDescent="0.45">
      <c r="A14" s="2">
        <v>7</v>
      </c>
      <c r="B14" s="2" t="s">
        <v>73</v>
      </c>
      <c r="C14" s="2" t="str">
        <f>VLOOKUP(B14,D.ファイターリスト!$B$5:$C$86,2,FALSE)</f>
        <v>CB</v>
      </c>
      <c r="D14" s="2">
        <v>11</v>
      </c>
      <c r="E14" s="2" t="s">
        <v>3</v>
      </c>
      <c r="F14" s="2" t="str">
        <f>VLOOKUP(E14,D.ファイターリスト!$B$5:$C$86,2,FALSE)</f>
        <v>ネス</v>
      </c>
      <c r="G14" s="2">
        <v>7</v>
      </c>
      <c r="H14" s="2">
        <v>8</v>
      </c>
      <c r="I14" s="33" t="s">
        <v>182</v>
      </c>
    </row>
    <row r="15" spans="1:9" ht="38.4" x14ac:dyDescent="0.45">
      <c r="A15" s="2">
        <v>7</v>
      </c>
      <c r="B15" s="2" t="s">
        <v>73</v>
      </c>
      <c r="C15" s="2" t="str">
        <f>VLOOKUP(B15,D.ファイターリスト!$B$5:$C$86,2,FALSE)</f>
        <v>CB</v>
      </c>
      <c r="D15" s="2">
        <v>12</v>
      </c>
      <c r="E15" s="2" t="s">
        <v>121</v>
      </c>
      <c r="F15" s="2" t="str">
        <f>VLOOKUP(E15,D.ファイターリスト!$B$5:$C$86,2,FALSE)</f>
        <v>CF</v>
      </c>
      <c r="G15" s="2">
        <v>12</v>
      </c>
      <c r="H15" s="2">
        <v>10</v>
      </c>
      <c r="I15" s="33" t="s">
        <v>183</v>
      </c>
    </row>
    <row r="16" spans="1:9" ht="19.2" x14ac:dyDescent="0.45">
      <c r="A16" s="2">
        <v>7</v>
      </c>
      <c r="B16" s="2" t="s">
        <v>73</v>
      </c>
      <c r="C16" s="2" t="str">
        <f>VLOOKUP(B16,D.ファイターリスト!$B$5:$C$86,2,FALSE)</f>
        <v>CB</v>
      </c>
      <c r="D16" s="2">
        <v>13</v>
      </c>
      <c r="E16" s="2" t="s">
        <v>4</v>
      </c>
      <c r="F16" s="2" t="str">
        <f>VLOOKUP(E16,D.ファイターリスト!$B$5:$C$86,2,FALSE)</f>
        <v>プリン</v>
      </c>
      <c r="G16" s="2">
        <v>6</v>
      </c>
      <c r="H16" s="2">
        <v>3</v>
      </c>
      <c r="I16" s="33" t="s">
        <v>184</v>
      </c>
    </row>
    <row r="17" spans="1:9" ht="19.2" x14ac:dyDescent="0.45">
      <c r="A17" s="2">
        <v>7</v>
      </c>
      <c r="B17" s="2" t="s">
        <v>73</v>
      </c>
      <c r="C17" s="2" t="str">
        <f>VLOOKUP(B17,D.ファイターリスト!$B$5:$C$86,2,FALSE)</f>
        <v>CB</v>
      </c>
      <c r="D17" s="2">
        <v>14</v>
      </c>
      <c r="E17" s="2" t="s">
        <v>123</v>
      </c>
      <c r="F17" s="2" t="str">
        <f>VLOOKUP(E17,D.ファイターリスト!$B$5:$C$86,2,FALSE)</f>
        <v>ピチデ</v>
      </c>
      <c r="G17" s="2">
        <v>0</v>
      </c>
      <c r="H17" s="2">
        <v>3</v>
      </c>
      <c r="I17" s="33" t="s">
        <v>185</v>
      </c>
    </row>
    <row r="18" spans="1:9" x14ac:dyDescent="0.45">
      <c r="A18" s="2">
        <v>7</v>
      </c>
      <c r="B18" s="2" t="s">
        <v>73</v>
      </c>
      <c r="C18" s="2" t="str">
        <f>VLOOKUP(B18,D.ファイターリスト!$B$5:$C$86,2,FALSE)</f>
        <v>CB</v>
      </c>
      <c r="D18" s="2">
        <v>16</v>
      </c>
      <c r="E18" s="2" t="s">
        <v>5</v>
      </c>
      <c r="F18" s="2" t="str">
        <f>VLOOKUP(E18,D.ファイターリスト!$B$5:$C$86,2,FALSE)</f>
        <v>カメ</v>
      </c>
      <c r="G18" s="2">
        <v>8</v>
      </c>
      <c r="H18" s="2">
        <v>9</v>
      </c>
      <c r="I18" s="34" t="s">
        <v>186</v>
      </c>
    </row>
    <row r="19" spans="1:9" x14ac:dyDescent="0.45">
      <c r="A19" s="2">
        <v>7</v>
      </c>
      <c r="B19" s="2" t="s">
        <v>73</v>
      </c>
      <c r="C19" s="2" t="str">
        <f>VLOOKUP(B19,D.ファイターリスト!$B$5:$C$86,2,FALSE)</f>
        <v>CB</v>
      </c>
      <c r="D19" s="2">
        <v>17</v>
      </c>
      <c r="E19" s="2" t="s">
        <v>6</v>
      </c>
      <c r="F19" s="2" t="str">
        <f>VLOOKUP(E19,D.ファイターリスト!$B$5:$C$86,2,FALSE)</f>
        <v>アイクラ</v>
      </c>
      <c r="G19" s="2">
        <v>0</v>
      </c>
      <c r="H19" s="2">
        <v>0</v>
      </c>
      <c r="I19" s="34"/>
    </row>
    <row r="20" spans="1:9" x14ac:dyDescent="0.45">
      <c r="A20" s="2">
        <v>7</v>
      </c>
      <c r="B20" s="2" t="s">
        <v>73</v>
      </c>
      <c r="C20" s="2" t="str">
        <f>VLOOKUP(B20,D.ファイターリスト!$B$5:$C$86,2,FALSE)</f>
        <v>CB</v>
      </c>
      <c r="D20" s="2">
        <v>18</v>
      </c>
      <c r="E20" s="2" t="s">
        <v>7</v>
      </c>
      <c r="F20" s="2" t="str">
        <f>VLOOKUP(E20,D.ファイターリスト!$B$5:$C$86,2,FALSE)</f>
        <v>シーク</v>
      </c>
      <c r="G20" s="2">
        <v>5</v>
      </c>
      <c r="H20" s="2">
        <v>0</v>
      </c>
      <c r="I20" s="34" t="s">
        <v>187</v>
      </c>
    </row>
    <row r="21" spans="1:9" ht="28.8" x14ac:dyDescent="0.45">
      <c r="A21" s="2">
        <v>7</v>
      </c>
      <c r="B21" s="2" t="s">
        <v>73</v>
      </c>
      <c r="C21" s="2" t="str">
        <f>VLOOKUP(B21,D.ファイターリスト!$B$5:$C$86,2,FALSE)</f>
        <v>CB</v>
      </c>
      <c r="D21" s="2">
        <v>19</v>
      </c>
      <c r="E21" s="2" t="s">
        <v>8</v>
      </c>
      <c r="F21" s="2" t="str">
        <f>VLOOKUP(E21,D.ファイターリスト!$B$5:$C$86,2,FALSE)</f>
        <v>ゼルダ</v>
      </c>
      <c r="G21" s="2">
        <v>2</v>
      </c>
      <c r="H21" s="2">
        <v>7</v>
      </c>
      <c r="I21" s="33" t="s">
        <v>188</v>
      </c>
    </row>
    <row r="22" spans="1:9" x14ac:dyDescent="0.45">
      <c r="A22" s="2">
        <v>7</v>
      </c>
      <c r="B22" s="2" t="s">
        <v>73</v>
      </c>
      <c r="C22" s="2" t="str">
        <f>VLOOKUP(B22,D.ファイターリスト!$B$5:$C$86,2,FALSE)</f>
        <v>CB</v>
      </c>
      <c r="D22" s="2">
        <v>20</v>
      </c>
      <c r="E22" s="2" t="s">
        <v>9</v>
      </c>
      <c r="F22" s="2" t="str">
        <f>VLOOKUP(E22,D.ファイターリスト!$B$5:$C$86,2,FALSE)</f>
        <v>ドクマリ</v>
      </c>
      <c r="G22" s="2">
        <v>5</v>
      </c>
      <c r="H22" s="2">
        <v>0</v>
      </c>
      <c r="I22" s="34"/>
    </row>
    <row r="23" spans="1:9" x14ac:dyDescent="0.45">
      <c r="A23" s="2">
        <v>7</v>
      </c>
      <c r="B23" s="2" t="s">
        <v>73</v>
      </c>
      <c r="C23" s="2" t="str">
        <f>VLOOKUP(B23,D.ファイターリスト!$B$5:$C$86,2,FALSE)</f>
        <v>CB</v>
      </c>
      <c r="D23" s="2">
        <v>21</v>
      </c>
      <c r="E23" s="2" t="s">
        <v>10</v>
      </c>
      <c r="F23" s="2" t="str">
        <f>VLOOKUP(E23,D.ファイターリスト!$B$5:$C$86,2,FALSE)</f>
        <v>ピチュー</v>
      </c>
      <c r="G23" s="2">
        <v>6</v>
      </c>
      <c r="H23" s="2">
        <v>1</v>
      </c>
      <c r="I23" s="33" t="s">
        <v>189</v>
      </c>
    </row>
    <row r="24" spans="1:9" ht="28.8" x14ac:dyDescent="0.45">
      <c r="A24" s="2">
        <v>7</v>
      </c>
      <c r="B24" s="2" t="s">
        <v>73</v>
      </c>
      <c r="C24" s="2" t="str">
        <f>VLOOKUP(B24,D.ファイターリスト!$B$5:$C$86,2,FALSE)</f>
        <v>CB</v>
      </c>
      <c r="D24" s="2">
        <v>22</v>
      </c>
      <c r="E24" s="2" t="s">
        <v>11</v>
      </c>
      <c r="F24" s="2" t="str">
        <f>VLOOKUP(E24,D.ファイターリスト!$B$5:$C$86,2,FALSE)</f>
        <v>ファルコ</v>
      </c>
      <c r="G24" s="2">
        <v>2</v>
      </c>
      <c r="H24" s="2">
        <v>2</v>
      </c>
      <c r="I24" s="33" t="s">
        <v>190</v>
      </c>
    </row>
    <row r="25" spans="1:9" x14ac:dyDescent="0.45">
      <c r="A25" s="2">
        <v>7</v>
      </c>
      <c r="B25" s="2" t="s">
        <v>73</v>
      </c>
      <c r="C25" s="2" t="str">
        <f>VLOOKUP(B25,D.ファイターリスト!$B$5:$C$86,2,FALSE)</f>
        <v>CB</v>
      </c>
      <c r="D25" s="2">
        <v>23</v>
      </c>
      <c r="E25" s="2" t="s">
        <v>12</v>
      </c>
      <c r="F25" s="2" t="str">
        <f>VLOOKUP(E25,D.ファイターリスト!$B$5:$C$86,2,FALSE)</f>
        <v>マルス</v>
      </c>
      <c r="G25" s="2">
        <v>4</v>
      </c>
      <c r="H25" s="2">
        <v>7</v>
      </c>
      <c r="I25" s="34"/>
    </row>
    <row r="26" spans="1:9" ht="57.6" x14ac:dyDescent="0.45">
      <c r="A26" s="2">
        <v>7</v>
      </c>
      <c r="B26" s="2" t="s">
        <v>73</v>
      </c>
      <c r="C26" s="2" t="str">
        <f>VLOOKUP(B26,D.ファイターリスト!$B$5:$C$86,2,FALSE)</f>
        <v>CB</v>
      </c>
      <c r="D26" s="2">
        <v>24</v>
      </c>
      <c r="E26" s="2" t="s">
        <v>13</v>
      </c>
      <c r="F26" s="2" t="str">
        <f>VLOOKUP(E26,D.ファイターリスト!$B$5:$C$86,2,FALSE)</f>
        <v>ルキナ</v>
      </c>
      <c r="G26" s="2">
        <v>10</v>
      </c>
      <c r="H26" s="2">
        <v>7</v>
      </c>
      <c r="I26" s="33" t="s">
        <v>191</v>
      </c>
    </row>
    <row r="27" spans="1:9" ht="57.6" x14ac:dyDescent="0.45">
      <c r="A27" s="2">
        <v>7</v>
      </c>
      <c r="B27" s="2" t="s">
        <v>73</v>
      </c>
      <c r="C27" s="2" t="str">
        <f>VLOOKUP(B27,D.ファイターリスト!$B$5:$C$86,2,FALSE)</f>
        <v>CB</v>
      </c>
      <c r="D27" s="2">
        <v>25</v>
      </c>
      <c r="E27" s="2" t="s">
        <v>14</v>
      </c>
      <c r="F27" s="2" t="str">
        <f>VLOOKUP(E27,D.ファイターリスト!$B$5:$C$86,2,FALSE)</f>
        <v>ヤンリン</v>
      </c>
      <c r="G27" s="2">
        <v>0</v>
      </c>
      <c r="H27" s="2">
        <v>4</v>
      </c>
      <c r="I27" s="33" t="s">
        <v>192</v>
      </c>
    </row>
    <row r="28" spans="1:9" ht="19.2" x14ac:dyDescent="0.45">
      <c r="A28" s="2">
        <v>7</v>
      </c>
      <c r="B28" s="2" t="s">
        <v>73</v>
      </c>
      <c r="C28" s="2" t="str">
        <f>VLOOKUP(B28,D.ファイターリスト!$B$5:$C$86,2,FALSE)</f>
        <v>CB</v>
      </c>
      <c r="D28" s="2">
        <v>26</v>
      </c>
      <c r="E28" s="2" t="s">
        <v>15</v>
      </c>
      <c r="F28" s="2" t="str">
        <f>VLOOKUP(E28,D.ファイターリスト!$B$5:$C$86,2,FALSE)</f>
        <v>ガノン</v>
      </c>
      <c r="G28" s="2">
        <v>47</v>
      </c>
      <c r="H28" s="2">
        <v>37</v>
      </c>
      <c r="I28" s="33" t="s">
        <v>193</v>
      </c>
    </row>
    <row r="29" spans="1:9" ht="28.8" x14ac:dyDescent="0.45">
      <c r="A29" s="2">
        <v>7</v>
      </c>
      <c r="B29" s="2" t="s">
        <v>73</v>
      </c>
      <c r="C29" s="2" t="str">
        <f>VLOOKUP(B29,D.ファイターリスト!$B$5:$C$86,2,FALSE)</f>
        <v>CB</v>
      </c>
      <c r="D29" s="2">
        <v>27</v>
      </c>
      <c r="E29" s="2" t="s">
        <v>130</v>
      </c>
      <c r="F29" s="2" t="str">
        <f>VLOOKUP(E29,D.ファイターリスト!$B$5:$C$86,2,FALSE)</f>
        <v>M2</v>
      </c>
      <c r="G29" s="2">
        <v>6</v>
      </c>
      <c r="H29" s="2">
        <v>4</v>
      </c>
      <c r="I29" s="33" t="s">
        <v>194</v>
      </c>
    </row>
    <row r="30" spans="1:9" x14ac:dyDescent="0.45">
      <c r="A30" s="2">
        <v>7</v>
      </c>
      <c r="B30" s="2" t="s">
        <v>73</v>
      </c>
      <c r="C30" s="2" t="str">
        <f>VLOOKUP(B30,D.ファイターリスト!$B$5:$C$86,2,FALSE)</f>
        <v>CB</v>
      </c>
      <c r="D30" s="2">
        <v>28</v>
      </c>
      <c r="E30" s="2" t="s">
        <v>16</v>
      </c>
      <c r="F30" s="2" t="str">
        <f>VLOOKUP(E30,D.ファイターリスト!$B$5:$C$86,2,FALSE)</f>
        <v>ロイ</v>
      </c>
      <c r="G30" s="2">
        <v>11</v>
      </c>
      <c r="H30" s="2">
        <v>9</v>
      </c>
      <c r="I30" s="34" t="s">
        <v>195</v>
      </c>
    </row>
    <row r="31" spans="1:9" ht="38.4" x14ac:dyDescent="0.45">
      <c r="A31" s="2">
        <v>7</v>
      </c>
      <c r="B31" s="2" t="s">
        <v>73</v>
      </c>
      <c r="C31" s="2" t="str">
        <f>VLOOKUP(B31,D.ファイターリスト!$B$5:$C$86,2,FALSE)</f>
        <v>CB</v>
      </c>
      <c r="D31" s="2">
        <v>29</v>
      </c>
      <c r="E31" s="2" t="s">
        <v>17</v>
      </c>
      <c r="F31" s="2" t="str">
        <f>VLOOKUP(E31,D.ファイターリスト!$B$5:$C$86,2,FALSE)</f>
        <v>クロム</v>
      </c>
      <c r="G31" s="2">
        <v>6</v>
      </c>
      <c r="H31" s="2">
        <v>5</v>
      </c>
      <c r="I31" s="33" t="s">
        <v>196</v>
      </c>
    </row>
    <row r="32" spans="1:9" x14ac:dyDescent="0.45">
      <c r="A32" s="2">
        <v>7</v>
      </c>
      <c r="B32" s="2" t="s">
        <v>73</v>
      </c>
      <c r="C32" s="2" t="str">
        <f>VLOOKUP(B32,D.ファイターリスト!$B$5:$C$86,2,FALSE)</f>
        <v>CB</v>
      </c>
      <c r="D32" s="2">
        <v>30</v>
      </c>
      <c r="E32" s="2" t="s">
        <v>132</v>
      </c>
      <c r="F32" s="2" t="str">
        <f>VLOOKUP(E32,D.ファイターリスト!$B$5:$C$86,2,FALSE)</f>
        <v>ゲッチ</v>
      </c>
      <c r="G32" s="2">
        <v>4</v>
      </c>
      <c r="H32" s="2">
        <v>5</v>
      </c>
      <c r="I32" s="33" t="s">
        <v>189</v>
      </c>
    </row>
    <row r="33" spans="1:9" x14ac:dyDescent="0.45">
      <c r="A33" s="2">
        <v>7</v>
      </c>
      <c r="B33" s="2" t="s">
        <v>73</v>
      </c>
      <c r="C33" s="2" t="str">
        <f>VLOOKUP(B33,D.ファイターリスト!$B$5:$C$86,2,FALSE)</f>
        <v>CB</v>
      </c>
      <c r="D33" s="2">
        <v>31</v>
      </c>
      <c r="E33" s="2" t="s">
        <v>18</v>
      </c>
      <c r="F33" s="2" t="str">
        <f>VLOOKUP(E33,D.ファイターリスト!$B$5:$C$86,2,FALSE)</f>
        <v>メタ</v>
      </c>
      <c r="G33" s="2">
        <v>2</v>
      </c>
      <c r="H33" s="2">
        <v>1</v>
      </c>
      <c r="I33" s="33" t="s">
        <v>197</v>
      </c>
    </row>
    <row r="34" spans="1:9" ht="19.2" x14ac:dyDescent="0.45">
      <c r="A34" s="2">
        <v>7</v>
      </c>
      <c r="B34" s="2" t="s">
        <v>73</v>
      </c>
      <c r="C34" s="2" t="str">
        <f>VLOOKUP(B34,D.ファイターリスト!$B$5:$C$86,2,FALSE)</f>
        <v>CB</v>
      </c>
      <c r="D34" s="2">
        <v>32</v>
      </c>
      <c r="E34" s="2" t="s">
        <v>135</v>
      </c>
      <c r="F34" s="2" t="str">
        <f>VLOOKUP(E34,D.ファイターリスト!$B$5:$C$86,2,FALSE)</f>
        <v>ブラピ</v>
      </c>
      <c r="G34" s="2">
        <v>7</v>
      </c>
      <c r="H34" s="2">
        <v>8</v>
      </c>
      <c r="I34" s="33" t="s">
        <v>198</v>
      </c>
    </row>
    <row r="35" spans="1:9" x14ac:dyDescent="0.45">
      <c r="A35" s="2">
        <v>7</v>
      </c>
      <c r="B35" s="2" t="s">
        <v>73</v>
      </c>
      <c r="C35" s="2" t="str">
        <f>VLOOKUP(B35,D.ファイターリスト!$B$5:$C$86,2,FALSE)</f>
        <v>CB</v>
      </c>
      <c r="D35" s="2">
        <v>34</v>
      </c>
      <c r="E35" s="2" t="s">
        <v>19</v>
      </c>
      <c r="F35" s="2" t="str">
        <f>VLOOKUP(E35,D.ファイターリスト!$B$5:$C$86,2,FALSE)</f>
        <v>ゼロサム</v>
      </c>
      <c r="G35" s="2">
        <v>2</v>
      </c>
      <c r="H35" s="2">
        <v>4</v>
      </c>
      <c r="I35" s="34"/>
    </row>
    <row r="36" spans="1:9" ht="28.8" x14ac:dyDescent="0.45">
      <c r="A36" s="2">
        <v>7</v>
      </c>
      <c r="B36" s="2" t="s">
        <v>73</v>
      </c>
      <c r="C36" s="2" t="str">
        <f>VLOOKUP(B36,D.ファイターリスト!$B$5:$C$86,2,FALSE)</f>
        <v>CB</v>
      </c>
      <c r="D36" s="2">
        <v>35</v>
      </c>
      <c r="E36" s="2" t="s">
        <v>20</v>
      </c>
      <c r="F36" s="2" t="str">
        <f>VLOOKUP(E36,D.ファイターリスト!$B$5:$C$86,2,FALSE)</f>
        <v>ワリオ</v>
      </c>
      <c r="G36" s="2">
        <v>2</v>
      </c>
      <c r="H36" s="2">
        <v>2</v>
      </c>
      <c r="I36" s="33" t="s">
        <v>199</v>
      </c>
    </row>
    <row r="37" spans="1:9" ht="19.2" x14ac:dyDescent="0.45">
      <c r="A37" s="2">
        <v>7</v>
      </c>
      <c r="B37" s="2" t="s">
        <v>73</v>
      </c>
      <c r="C37" s="2" t="str">
        <f>VLOOKUP(B37,D.ファイターリスト!$B$5:$C$86,2,FALSE)</f>
        <v>CB</v>
      </c>
      <c r="D37" s="2">
        <v>36</v>
      </c>
      <c r="E37" s="2" t="s">
        <v>21</v>
      </c>
      <c r="F37" s="2" t="str">
        <f>VLOOKUP(E37,D.ファイターリスト!$B$5:$C$86,2,FALSE)</f>
        <v>スネーク</v>
      </c>
      <c r="G37" s="2">
        <v>2</v>
      </c>
      <c r="H37" s="2">
        <v>8</v>
      </c>
      <c r="I37" s="33" t="s">
        <v>200</v>
      </c>
    </row>
    <row r="38" spans="1:9" ht="67.2" x14ac:dyDescent="0.45">
      <c r="A38" s="2">
        <v>7</v>
      </c>
      <c r="B38" s="2" t="s">
        <v>73</v>
      </c>
      <c r="C38" s="2" t="str">
        <f>VLOOKUP(B38,D.ファイターリスト!$B$5:$C$86,2,FALSE)</f>
        <v>CB</v>
      </c>
      <c r="D38" s="2">
        <v>37</v>
      </c>
      <c r="E38" s="2" t="s">
        <v>22</v>
      </c>
      <c r="F38" s="2" t="str">
        <f>VLOOKUP(E38,D.ファイターリスト!$B$5:$C$86,2,FALSE)</f>
        <v>アイクラ</v>
      </c>
      <c r="G38" s="2">
        <v>4</v>
      </c>
      <c r="H38" s="2">
        <v>8</v>
      </c>
      <c r="I38" s="33" t="s">
        <v>201</v>
      </c>
    </row>
    <row r="39" spans="1:9" x14ac:dyDescent="0.45">
      <c r="A39" s="2">
        <v>7</v>
      </c>
      <c r="B39" s="2" t="s">
        <v>73</v>
      </c>
      <c r="C39" s="2" t="str">
        <f>VLOOKUP(B39,D.ファイターリスト!$B$5:$C$86,2,FALSE)</f>
        <v>CB</v>
      </c>
      <c r="D39" s="2">
        <v>38</v>
      </c>
      <c r="E39" s="2" t="s">
        <v>23</v>
      </c>
      <c r="F39" s="2" t="str">
        <f>VLOOKUP(E39,D.ファイターリスト!$B$5:$C$86,2,FALSE)</f>
        <v>ポケトレ</v>
      </c>
      <c r="G39" s="2">
        <v>3</v>
      </c>
      <c r="H39" s="2">
        <v>2</v>
      </c>
      <c r="I39" s="34"/>
    </row>
    <row r="40" spans="1:9" ht="28.8" x14ac:dyDescent="0.45">
      <c r="A40" s="2">
        <v>7</v>
      </c>
      <c r="B40" s="2" t="s">
        <v>73</v>
      </c>
      <c r="C40" s="2" t="str">
        <f>VLOOKUP(B40,D.ファイターリスト!$B$5:$C$86,2,FALSE)</f>
        <v>CB</v>
      </c>
      <c r="D40" s="2">
        <v>39</v>
      </c>
      <c r="E40" s="2" t="s">
        <v>24</v>
      </c>
      <c r="F40" s="2" t="str">
        <f>VLOOKUP(E40,D.ファイターリスト!$B$5:$C$86,2,FALSE)</f>
        <v>DD</v>
      </c>
      <c r="G40" s="2">
        <v>4</v>
      </c>
      <c r="H40" s="2">
        <v>2</v>
      </c>
      <c r="I40" s="33" t="s">
        <v>202</v>
      </c>
    </row>
    <row r="41" spans="1:9" ht="19.2" x14ac:dyDescent="0.45">
      <c r="A41" s="2">
        <v>7</v>
      </c>
      <c r="B41" s="2" t="s">
        <v>73</v>
      </c>
      <c r="C41" s="2" t="str">
        <f>VLOOKUP(B41,D.ファイターリスト!$B$5:$C$86,2,FALSE)</f>
        <v>CB</v>
      </c>
      <c r="D41" s="2">
        <v>40</v>
      </c>
      <c r="E41" s="2" t="s">
        <v>25</v>
      </c>
      <c r="F41" s="2" t="str">
        <f>VLOOKUP(E41,D.ファイターリスト!$B$5:$C$86,2,FALSE)</f>
        <v>リュカ</v>
      </c>
      <c r="G41" s="2">
        <v>1</v>
      </c>
      <c r="H41" s="2">
        <v>2</v>
      </c>
      <c r="I41" s="33" t="s">
        <v>203</v>
      </c>
    </row>
    <row r="42" spans="1:9" ht="19.2" x14ac:dyDescent="0.45">
      <c r="A42" s="2">
        <v>7</v>
      </c>
      <c r="B42" s="2" t="s">
        <v>73</v>
      </c>
      <c r="C42" s="2" t="str">
        <f>VLOOKUP(B42,D.ファイターリスト!$B$5:$C$86,2,FALSE)</f>
        <v>CB</v>
      </c>
      <c r="D42" s="2">
        <v>41</v>
      </c>
      <c r="E42" s="2" t="s">
        <v>26</v>
      </c>
      <c r="F42" s="2" t="str">
        <f>VLOOKUP(E42,D.ファイターリスト!$B$5:$C$86,2,FALSE)</f>
        <v>ソニック</v>
      </c>
      <c r="G42" s="2">
        <v>2</v>
      </c>
      <c r="H42" s="2">
        <v>1</v>
      </c>
      <c r="I42" s="33" t="s">
        <v>204</v>
      </c>
    </row>
    <row r="43" spans="1:9" ht="28.8" x14ac:dyDescent="0.45">
      <c r="A43" s="2">
        <v>7</v>
      </c>
      <c r="B43" s="2" t="s">
        <v>73</v>
      </c>
      <c r="C43" s="2" t="str">
        <f>VLOOKUP(B43,D.ファイターリスト!$B$5:$C$86,2,FALSE)</f>
        <v>CB</v>
      </c>
      <c r="D43" s="2">
        <v>42</v>
      </c>
      <c r="E43" s="2" t="s">
        <v>27</v>
      </c>
      <c r="F43" s="2" t="str">
        <f>VLOOKUP(E43,D.ファイターリスト!$B$5:$C$86,2,FALSE)</f>
        <v>DDD</v>
      </c>
      <c r="G43" s="2">
        <v>4</v>
      </c>
      <c r="H43" s="2">
        <v>7</v>
      </c>
      <c r="I43" s="33" t="s">
        <v>205</v>
      </c>
    </row>
    <row r="44" spans="1:9" x14ac:dyDescent="0.45">
      <c r="A44" s="2">
        <v>7</v>
      </c>
      <c r="B44" s="2" t="s">
        <v>73</v>
      </c>
      <c r="C44" s="2" t="str">
        <f>VLOOKUP(B44,D.ファイターリスト!$B$5:$C$86,2,FALSE)</f>
        <v>CB</v>
      </c>
      <c r="D44" s="2">
        <v>43</v>
      </c>
      <c r="E44" s="2" t="s">
        <v>28</v>
      </c>
      <c r="F44" s="2" t="str">
        <f>VLOOKUP(E44,D.ファイターリスト!$B$5:$C$86,2,FALSE)</f>
        <v>ピクオリ</v>
      </c>
      <c r="G44" s="2">
        <v>0</v>
      </c>
      <c r="H44" s="2">
        <v>1</v>
      </c>
      <c r="I44" s="34"/>
    </row>
    <row r="45" spans="1:9" x14ac:dyDescent="0.45">
      <c r="A45" s="2">
        <v>7</v>
      </c>
      <c r="B45" s="2" t="s">
        <v>73</v>
      </c>
      <c r="C45" s="2" t="str">
        <f>VLOOKUP(B45,D.ファイターリスト!$B$5:$C$86,2,FALSE)</f>
        <v>CB</v>
      </c>
      <c r="D45" s="2">
        <v>44</v>
      </c>
      <c r="E45" s="2" t="s">
        <v>29</v>
      </c>
      <c r="F45" s="2" t="str">
        <f>VLOOKUP(E45,D.ファイターリスト!$B$5:$C$86,2,FALSE)</f>
        <v>ルカリオ</v>
      </c>
      <c r="G45" s="2">
        <v>3</v>
      </c>
      <c r="H45" s="2">
        <v>0</v>
      </c>
      <c r="I45" s="34"/>
    </row>
    <row r="46" spans="1:9" ht="28.8" x14ac:dyDescent="0.45">
      <c r="A46" s="2">
        <v>7</v>
      </c>
      <c r="B46" s="2" t="s">
        <v>73</v>
      </c>
      <c r="C46" s="2" t="str">
        <f>VLOOKUP(B46,D.ファイターリスト!$B$5:$C$86,2,FALSE)</f>
        <v>CB</v>
      </c>
      <c r="D46" s="2">
        <v>45</v>
      </c>
      <c r="E46" s="2" t="s">
        <v>30</v>
      </c>
      <c r="F46" s="2" t="str">
        <f>VLOOKUP(E46,D.ファイターリスト!$B$5:$C$86,2,FALSE)</f>
        <v>ロボット</v>
      </c>
      <c r="G46" s="2">
        <v>5</v>
      </c>
      <c r="H46" s="2">
        <v>4</v>
      </c>
      <c r="I46" s="33" t="s">
        <v>206</v>
      </c>
    </row>
    <row r="47" spans="1:9" x14ac:dyDescent="0.45">
      <c r="A47" s="2">
        <v>7</v>
      </c>
      <c r="B47" s="2" t="s">
        <v>73</v>
      </c>
      <c r="C47" s="2" t="str">
        <f>VLOOKUP(B47,D.ファイターリスト!$B$5:$C$86,2,FALSE)</f>
        <v>CB</v>
      </c>
      <c r="D47" s="2">
        <v>46</v>
      </c>
      <c r="E47" s="2" t="s">
        <v>31</v>
      </c>
      <c r="F47" s="2" t="str">
        <f>VLOOKUP(E47,D.ファイターリスト!$B$5:$C$86,2,FALSE)</f>
        <v>トリン</v>
      </c>
      <c r="G47" s="2">
        <v>2</v>
      </c>
      <c r="H47" s="2">
        <v>4</v>
      </c>
      <c r="I47" s="34"/>
    </row>
    <row r="48" spans="1:9" ht="48" x14ac:dyDescent="0.45">
      <c r="A48" s="2">
        <v>7</v>
      </c>
      <c r="B48" s="2" t="s">
        <v>73</v>
      </c>
      <c r="C48" s="2" t="str">
        <f>VLOOKUP(B48,D.ファイターリスト!$B$5:$C$86,2,FALSE)</f>
        <v>CB</v>
      </c>
      <c r="D48" s="2">
        <v>47</v>
      </c>
      <c r="E48" s="2" t="s">
        <v>32</v>
      </c>
      <c r="F48" s="2" t="str">
        <f>VLOOKUP(E48,D.ファイターリスト!$B$5:$C$86,2,FALSE)</f>
        <v>ウルフ</v>
      </c>
      <c r="G48" s="2">
        <v>5</v>
      </c>
      <c r="H48" s="2">
        <v>7</v>
      </c>
      <c r="I48" s="33" t="s">
        <v>207</v>
      </c>
    </row>
    <row r="49" spans="1:9" ht="38.4" x14ac:dyDescent="0.45">
      <c r="A49" s="2">
        <v>7</v>
      </c>
      <c r="B49" s="2" t="s">
        <v>73</v>
      </c>
      <c r="C49" s="2" t="str">
        <f>VLOOKUP(B49,D.ファイターリスト!$B$5:$C$86,2,FALSE)</f>
        <v>CB</v>
      </c>
      <c r="D49" s="2">
        <v>48</v>
      </c>
      <c r="E49" s="2" t="s">
        <v>33</v>
      </c>
      <c r="F49" s="2" t="str">
        <f>VLOOKUP(E49,D.ファイターリスト!$B$5:$C$86,2,FALSE)</f>
        <v>むらびと</v>
      </c>
      <c r="G49" s="2">
        <v>0</v>
      </c>
      <c r="H49" s="2">
        <v>3</v>
      </c>
      <c r="I49" s="33" t="s">
        <v>208</v>
      </c>
    </row>
    <row r="50" spans="1:9" x14ac:dyDescent="0.45">
      <c r="A50" s="2">
        <v>7</v>
      </c>
      <c r="B50" s="2" t="s">
        <v>73</v>
      </c>
      <c r="C50" s="2" t="str">
        <f>VLOOKUP(B50,D.ファイターリスト!$B$5:$C$86,2,FALSE)</f>
        <v>CB</v>
      </c>
      <c r="D50" s="2">
        <v>49</v>
      </c>
      <c r="E50" s="2" t="s">
        <v>34</v>
      </c>
      <c r="F50" s="2" t="str">
        <f>VLOOKUP(E50,D.ファイターリスト!$B$5:$C$86,2,FALSE)</f>
        <v>岩</v>
      </c>
      <c r="G50" s="2">
        <v>2</v>
      </c>
      <c r="H50" s="2">
        <v>1</v>
      </c>
      <c r="I50" s="34"/>
    </row>
    <row r="51" spans="1:9" x14ac:dyDescent="0.45">
      <c r="A51" s="2">
        <v>7</v>
      </c>
      <c r="B51" s="2" t="s">
        <v>73</v>
      </c>
      <c r="C51" s="2" t="str">
        <f>VLOOKUP(B51,D.ファイターリスト!$B$5:$C$86,2,FALSE)</f>
        <v>CB</v>
      </c>
      <c r="D51" s="2">
        <v>50</v>
      </c>
      <c r="E51" s="2" t="s">
        <v>35</v>
      </c>
      <c r="F51" s="2" t="str">
        <f>VLOOKUP(E51,D.ファイターリスト!$B$5:$C$86,2,FALSE)</f>
        <v>フィットレ</v>
      </c>
      <c r="G51" s="2">
        <v>1</v>
      </c>
      <c r="H51" s="2">
        <v>1</v>
      </c>
      <c r="I51" s="34"/>
    </row>
    <row r="52" spans="1:9" x14ac:dyDescent="0.45">
      <c r="A52" s="2">
        <v>7</v>
      </c>
      <c r="B52" s="2" t="s">
        <v>73</v>
      </c>
      <c r="C52" s="2" t="str">
        <f>VLOOKUP(B52,D.ファイターリスト!$B$5:$C$86,2,FALSE)</f>
        <v>CB</v>
      </c>
      <c r="D52" s="2">
        <v>51</v>
      </c>
      <c r="E52" s="2" t="s">
        <v>36</v>
      </c>
      <c r="F52" s="2" t="str">
        <f>VLOOKUP(E52,D.ファイターリスト!$B$5:$C$86,2,FALSE)</f>
        <v>ロゼチコ</v>
      </c>
      <c r="G52" s="2">
        <v>1</v>
      </c>
      <c r="H52" s="2">
        <v>0</v>
      </c>
      <c r="I52" s="34"/>
    </row>
    <row r="53" spans="1:9" x14ac:dyDescent="0.45">
      <c r="A53" s="2">
        <v>7</v>
      </c>
      <c r="B53" s="2" t="s">
        <v>73</v>
      </c>
      <c r="C53" s="2" t="str">
        <f>VLOOKUP(B53,D.ファイターリスト!$B$5:$C$86,2,FALSE)</f>
        <v>CB</v>
      </c>
      <c r="D53" s="2">
        <v>52</v>
      </c>
      <c r="E53" s="2" t="s">
        <v>37</v>
      </c>
      <c r="F53" s="2" t="str">
        <f>VLOOKUP(E53,D.ファイターリスト!$B$5:$C$86,2,FALSE)</f>
        <v>リトマ</v>
      </c>
      <c r="G53" s="2">
        <v>16</v>
      </c>
      <c r="H53" s="2">
        <v>14</v>
      </c>
      <c r="I53" s="34" t="s">
        <v>209</v>
      </c>
    </row>
    <row r="54" spans="1:9" ht="28.8" x14ac:dyDescent="0.45">
      <c r="A54" s="2">
        <v>7</v>
      </c>
      <c r="B54" s="2" t="s">
        <v>73</v>
      </c>
      <c r="C54" s="2" t="str">
        <f>VLOOKUP(B54,D.ファイターリスト!$B$5:$C$86,2,FALSE)</f>
        <v>CB</v>
      </c>
      <c r="D54" s="2">
        <v>53</v>
      </c>
      <c r="E54" s="2" t="s">
        <v>38</v>
      </c>
      <c r="F54" s="2" t="str">
        <f>VLOOKUP(E54,D.ファイターリスト!$B$5:$C$86,2,FALSE)</f>
        <v>ゲコ</v>
      </c>
      <c r="G54" s="2">
        <v>3</v>
      </c>
      <c r="H54" s="2">
        <v>4</v>
      </c>
      <c r="I54" s="33" t="s">
        <v>210</v>
      </c>
    </row>
    <row r="55" spans="1:9" x14ac:dyDescent="0.45">
      <c r="A55" s="2">
        <v>7</v>
      </c>
      <c r="B55" s="2" t="s">
        <v>73</v>
      </c>
      <c r="C55" s="2" t="str">
        <f>VLOOKUP(B55,D.ファイターリスト!$B$5:$C$86,2,FALSE)</f>
        <v>CB</v>
      </c>
      <c r="D55" s="2">
        <v>54</v>
      </c>
      <c r="E55" s="2" t="s">
        <v>39</v>
      </c>
      <c r="F55" s="2" t="str">
        <f>VLOOKUP(E55,D.ファイターリスト!$B$5:$C$86,2,FALSE)</f>
        <v>カクミ</v>
      </c>
      <c r="G55" s="2">
        <v>5</v>
      </c>
      <c r="H55" s="2">
        <v>1</v>
      </c>
      <c r="I55" s="34" t="s">
        <v>211</v>
      </c>
    </row>
    <row r="56" spans="1:9" x14ac:dyDescent="0.45">
      <c r="A56" s="2">
        <v>7</v>
      </c>
      <c r="B56" s="2" t="s">
        <v>73</v>
      </c>
      <c r="C56" s="2" t="str">
        <f>VLOOKUP(B56,D.ファイターリスト!$B$5:$C$86,2,FALSE)</f>
        <v>CB</v>
      </c>
      <c r="D56" s="2">
        <v>55</v>
      </c>
      <c r="E56" s="2" t="s">
        <v>40</v>
      </c>
      <c r="F56" s="2" t="str">
        <f>VLOOKUP(E56,D.ファイターリスト!$B$5:$C$86,2,FALSE)</f>
        <v>ケンミ</v>
      </c>
      <c r="G56" s="2">
        <v>3</v>
      </c>
      <c r="H56" s="2">
        <v>3</v>
      </c>
      <c r="I56" s="34"/>
    </row>
    <row r="57" spans="1:9" x14ac:dyDescent="0.45">
      <c r="A57" s="2">
        <v>7</v>
      </c>
      <c r="B57" s="2" t="s">
        <v>73</v>
      </c>
      <c r="C57" s="2" t="str">
        <f>VLOOKUP(B57,D.ファイターリスト!$B$5:$C$86,2,FALSE)</f>
        <v>CB</v>
      </c>
      <c r="D57" s="2">
        <v>56</v>
      </c>
      <c r="E57" s="2" t="s">
        <v>41</v>
      </c>
      <c r="F57" s="2" t="str">
        <f>VLOOKUP(E57,D.ファイターリスト!$B$5:$C$86,2,FALSE)</f>
        <v>シャゲミ</v>
      </c>
      <c r="G57" s="2">
        <v>1</v>
      </c>
      <c r="H57" s="2">
        <v>0</v>
      </c>
      <c r="I57" s="34"/>
    </row>
    <row r="58" spans="1:9" ht="19.2" x14ac:dyDescent="0.45">
      <c r="A58" s="2">
        <v>7</v>
      </c>
      <c r="B58" s="2" t="s">
        <v>73</v>
      </c>
      <c r="C58" s="2" t="str">
        <f>VLOOKUP(B58,D.ファイターリスト!$B$5:$C$86,2,FALSE)</f>
        <v>CB</v>
      </c>
      <c r="D58" s="2">
        <v>57</v>
      </c>
      <c r="E58" s="2" t="s">
        <v>42</v>
      </c>
      <c r="F58" s="2" t="str">
        <f>VLOOKUP(E58,D.ファイターリスト!$B$5:$C$86,2,FALSE)</f>
        <v>パルテナ</v>
      </c>
      <c r="G58" s="2">
        <v>8</v>
      </c>
      <c r="H58" s="2">
        <v>2</v>
      </c>
      <c r="I58" s="33" t="s">
        <v>212</v>
      </c>
    </row>
    <row r="59" spans="1:9" x14ac:dyDescent="0.45">
      <c r="A59" s="2">
        <v>7</v>
      </c>
      <c r="B59" s="2" t="s">
        <v>73</v>
      </c>
      <c r="C59" s="2" t="str">
        <f>VLOOKUP(B59,D.ファイターリスト!$B$5:$C$86,2,FALSE)</f>
        <v>CB</v>
      </c>
      <c r="D59" s="2">
        <v>58</v>
      </c>
      <c r="E59" s="2" t="s">
        <v>43</v>
      </c>
      <c r="F59" s="2" t="str">
        <f>VLOOKUP(E59,D.ファイターリスト!$B$5:$C$86,2,FALSE)</f>
        <v>金玉</v>
      </c>
      <c r="G59" s="2">
        <v>1</v>
      </c>
      <c r="H59" s="2">
        <v>2</v>
      </c>
      <c r="I59" s="34"/>
    </row>
    <row r="60" spans="1:9" x14ac:dyDescent="0.45">
      <c r="A60" s="2">
        <v>7</v>
      </c>
      <c r="B60" s="2" t="s">
        <v>73</v>
      </c>
      <c r="C60" s="2" t="str">
        <f>VLOOKUP(B60,D.ファイターリスト!$B$5:$C$86,2,FALSE)</f>
        <v>CB</v>
      </c>
      <c r="D60" s="2">
        <v>59</v>
      </c>
      <c r="E60" s="2" t="s">
        <v>44</v>
      </c>
      <c r="F60" s="2" t="str">
        <f>VLOOKUP(E60,D.ファイターリスト!$B$5:$C$86,2,FALSE)</f>
        <v>ルフレ</v>
      </c>
      <c r="G60" s="2">
        <v>2</v>
      </c>
      <c r="H60" s="2">
        <v>0</v>
      </c>
      <c r="I60" s="34"/>
    </row>
    <row r="61" spans="1:9" x14ac:dyDescent="0.45">
      <c r="A61" s="2">
        <v>7</v>
      </c>
      <c r="B61" s="2" t="s">
        <v>73</v>
      </c>
      <c r="C61" s="2" t="str">
        <f>VLOOKUP(B61,D.ファイターリスト!$B$5:$C$86,2,FALSE)</f>
        <v>CB</v>
      </c>
      <c r="D61" s="2">
        <v>60</v>
      </c>
      <c r="E61" s="2" t="s">
        <v>45</v>
      </c>
      <c r="F61" s="2" t="str">
        <f>VLOOKUP(E61,D.ファイターリスト!$B$5:$C$86,2,FALSE)</f>
        <v>手越</v>
      </c>
      <c r="G61" s="2">
        <v>8</v>
      </c>
      <c r="H61" s="2">
        <v>3</v>
      </c>
      <c r="I61" s="34"/>
    </row>
    <row r="62" spans="1:9" ht="48" x14ac:dyDescent="0.45">
      <c r="A62" s="2">
        <v>7</v>
      </c>
      <c r="B62" s="2" t="s">
        <v>73</v>
      </c>
      <c r="C62" s="2" t="str">
        <f>VLOOKUP(B62,D.ファイターリスト!$B$5:$C$86,2,FALSE)</f>
        <v>CB</v>
      </c>
      <c r="D62" s="2">
        <v>61</v>
      </c>
      <c r="E62" s="2" t="s">
        <v>46</v>
      </c>
      <c r="F62" s="2" t="str">
        <f>VLOOKUP(E62,D.ファイターリスト!$B$5:$C$86,2,FALSE)</f>
        <v>パジュニ</v>
      </c>
      <c r="G62" s="2">
        <v>3</v>
      </c>
      <c r="H62" s="2">
        <v>5</v>
      </c>
      <c r="I62" s="33" t="s">
        <v>213</v>
      </c>
    </row>
    <row r="63" spans="1:9" ht="38.4" x14ac:dyDescent="0.45">
      <c r="A63" s="2">
        <v>7</v>
      </c>
      <c r="B63" s="2" t="s">
        <v>73</v>
      </c>
      <c r="C63" s="2" t="str">
        <f>VLOOKUP(B63,D.ファイターリスト!$B$5:$C$86,2,FALSE)</f>
        <v>CB</v>
      </c>
      <c r="D63" s="2">
        <v>62</v>
      </c>
      <c r="E63" s="2" t="s">
        <v>47</v>
      </c>
      <c r="F63" s="2" t="str">
        <f>VLOOKUP(E63,D.ファイターリスト!$B$5:$C$86,2,FALSE)</f>
        <v>犬</v>
      </c>
      <c r="G63" s="2">
        <v>0</v>
      </c>
      <c r="H63" s="2">
        <v>1</v>
      </c>
      <c r="I63" s="33" t="s">
        <v>214</v>
      </c>
    </row>
    <row r="64" spans="1:9" ht="57.6" x14ac:dyDescent="0.45">
      <c r="A64" s="2">
        <v>7</v>
      </c>
      <c r="B64" s="2" t="s">
        <v>73</v>
      </c>
      <c r="C64" s="2" t="str">
        <f>VLOOKUP(B64,D.ファイターリスト!$B$5:$C$86,2,FALSE)</f>
        <v>CB</v>
      </c>
      <c r="D64" s="2">
        <v>63</v>
      </c>
      <c r="E64" s="2" t="s">
        <v>48</v>
      </c>
      <c r="F64" s="2" t="str">
        <f>VLOOKUP(E64,D.ファイターリスト!$B$5:$C$86,2,FALSE)</f>
        <v>リュウ</v>
      </c>
      <c r="G64" s="2">
        <v>0</v>
      </c>
      <c r="H64" s="2">
        <v>0</v>
      </c>
      <c r="I64" s="33" t="s">
        <v>215</v>
      </c>
    </row>
    <row r="65" spans="1:9" ht="57.6" x14ac:dyDescent="0.45">
      <c r="A65" s="2">
        <v>7</v>
      </c>
      <c r="B65" s="2" t="s">
        <v>73</v>
      </c>
      <c r="C65" s="2" t="str">
        <f>VLOOKUP(B65,D.ファイターリスト!$B$5:$C$86,2,FALSE)</f>
        <v>CB</v>
      </c>
      <c r="D65" s="2">
        <v>64</v>
      </c>
      <c r="E65" s="2" t="s">
        <v>49</v>
      </c>
      <c r="F65" s="2" t="str">
        <f>VLOOKUP(E65,D.ファイターリスト!$B$5:$C$86,2,FALSE)</f>
        <v>剣</v>
      </c>
      <c r="G65" s="2">
        <v>0</v>
      </c>
      <c r="H65" s="2">
        <v>1</v>
      </c>
      <c r="I65" s="33" t="s">
        <v>215</v>
      </c>
    </row>
    <row r="66" spans="1:9" ht="28.8" x14ac:dyDescent="0.45">
      <c r="A66" s="2">
        <v>7</v>
      </c>
      <c r="B66" s="2" t="s">
        <v>73</v>
      </c>
      <c r="C66" s="2" t="str">
        <f>VLOOKUP(B66,D.ファイターリスト!$B$5:$C$86,2,FALSE)</f>
        <v>CB</v>
      </c>
      <c r="D66" s="2">
        <v>65</v>
      </c>
      <c r="E66" s="2" t="s">
        <v>50</v>
      </c>
      <c r="F66" s="2" t="str">
        <f>VLOOKUP(E66,D.ファイターリスト!$B$5:$C$86,2,FALSE)</f>
        <v>クラウド</v>
      </c>
      <c r="G66" s="2">
        <v>13</v>
      </c>
      <c r="H66" s="2">
        <v>7</v>
      </c>
      <c r="I66" s="33" t="s">
        <v>216</v>
      </c>
    </row>
    <row r="67" spans="1:9" x14ac:dyDescent="0.45">
      <c r="A67" s="2">
        <v>7</v>
      </c>
      <c r="B67" s="2" t="s">
        <v>73</v>
      </c>
      <c r="C67" s="2" t="str">
        <f>VLOOKUP(B67,D.ファイターリスト!$B$5:$C$86,2,FALSE)</f>
        <v>CB</v>
      </c>
      <c r="D67" s="2">
        <v>66</v>
      </c>
      <c r="E67" s="2" t="s">
        <v>51</v>
      </c>
      <c r="F67" s="2" t="str">
        <f>VLOOKUP(E67,D.ファイターリスト!$B$5:$C$86,2,FALSE)</f>
        <v>カムイ</v>
      </c>
      <c r="G67" s="2">
        <v>5</v>
      </c>
      <c r="H67" s="2">
        <v>2</v>
      </c>
      <c r="I67" s="33" t="s">
        <v>217</v>
      </c>
    </row>
    <row r="68" spans="1:9" ht="38.4" x14ac:dyDescent="0.45">
      <c r="A68" s="2">
        <v>7</v>
      </c>
      <c r="B68" s="2" t="s">
        <v>73</v>
      </c>
      <c r="C68" s="2" t="str">
        <f>VLOOKUP(B68,D.ファイターリスト!$B$5:$C$86,2,FALSE)</f>
        <v>CB</v>
      </c>
      <c r="D68" s="2">
        <v>67</v>
      </c>
      <c r="E68" s="2" t="s">
        <v>52</v>
      </c>
      <c r="F68" s="2" t="str">
        <f>VLOOKUP(E68,D.ファイターリスト!$B$5:$C$86,2,FALSE)</f>
        <v>ベヨネッタ</v>
      </c>
      <c r="G68" s="2">
        <v>4</v>
      </c>
      <c r="H68" s="2">
        <v>2</v>
      </c>
      <c r="I68" s="33" t="s">
        <v>218</v>
      </c>
    </row>
    <row r="69" spans="1:9" x14ac:dyDescent="0.45">
      <c r="A69" s="2">
        <v>7</v>
      </c>
      <c r="B69" s="2" t="s">
        <v>73</v>
      </c>
      <c r="C69" s="2" t="str">
        <f>VLOOKUP(B69,D.ファイターリスト!$B$5:$C$86,2,FALSE)</f>
        <v>CB</v>
      </c>
      <c r="D69" s="2">
        <v>68</v>
      </c>
      <c r="E69" s="2" t="s">
        <v>53</v>
      </c>
      <c r="F69" s="2" t="str">
        <f>VLOOKUP(E69,D.ファイターリスト!$B$5:$C$86,2,FALSE)</f>
        <v>イカ</v>
      </c>
      <c r="G69" s="2">
        <v>2</v>
      </c>
      <c r="H69" s="2">
        <v>3</v>
      </c>
      <c r="I69" s="34" t="s">
        <v>219</v>
      </c>
    </row>
    <row r="70" spans="1:9" ht="48" x14ac:dyDescent="0.45">
      <c r="A70" s="2">
        <v>7</v>
      </c>
      <c r="B70" s="2" t="s">
        <v>73</v>
      </c>
      <c r="C70" s="2" t="str">
        <f>VLOOKUP(B70,D.ファイターリスト!$B$5:$C$86,2,FALSE)</f>
        <v>CB</v>
      </c>
      <c r="D70" s="2">
        <v>69</v>
      </c>
      <c r="E70" s="2" t="s">
        <v>54</v>
      </c>
      <c r="F70" s="2" t="str">
        <f>VLOOKUP(E70,D.ファイターリスト!$B$5:$C$86,2,FALSE)</f>
        <v>リドリー</v>
      </c>
      <c r="G70" s="2">
        <v>6</v>
      </c>
      <c r="H70" s="2">
        <v>10</v>
      </c>
      <c r="I70" s="33" t="s">
        <v>220</v>
      </c>
    </row>
    <row r="71" spans="1:9" ht="19.2" x14ac:dyDescent="0.45">
      <c r="A71" s="2">
        <v>7</v>
      </c>
      <c r="B71" s="2" t="s">
        <v>73</v>
      </c>
      <c r="C71" s="2" t="str">
        <f>VLOOKUP(B71,D.ファイターリスト!$B$5:$C$86,2,FALSE)</f>
        <v>CB</v>
      </c>
      <c r="D71" s="2">
        <v>70</v>
      </c>
      <c r="E71" s="2" t="s">
        <v>151</v>
      </c>
      <c r="F71" s="2" t="str">
        <f>VLOOKUP(E71,D.ファイターリスト!$B$5:$C$86,2,FALSE)</f>
        <v>シモリヒ</v>
      </c>
      <c r="G71" s="2">
        <v>1</v>
      </c>
      <c r="H71" s="2">
        <v>0</v>
      </c>
      <c r="I71" s="33" t="s">
        <v>221</v>
      </c>
    </row>
    <row r="72" spans="1:9" ht="28.8" x14ac:dyDescent="0.45">
      <c r="A72" s="2">
        <v>7</v>
      </c>
      <c r="B72" s="2" t="s">
        <v>73</v>
      </c>
      <c r="C72" s="2" t="str">
        <f>VLOOKUP(B72,D.ファイターリスト!$B$5:$C$86,2,FALSE)</f>
        <v>CB</v>
      </c>
      <c r="D72" s="2">
        <v>72</v>
      </c>
      <c r="E72" s="2" t="s">
        <v>55</v>
      </c>
      <c r="F72" s="2" t="str">
        <f>VLOOKUP(E72,D.ファイターリスト!$B$5:$C$86,2,FALSE)</f>
        <v>キンクル</v>
      </c>
      <c r="G72" s="2">
        <v>15</v>
      </c>
      <c r="H72" s="2">
        <v>19</v>
      </c>
      <c r="I72" s="33" t="s">
        <v>222</v>
      </c>
    </row>
    <row r="73" spans="1:9" ht="19.2" x14ac:dyDescent="0.45">
      <c r="A73" s="2">
        <v>7</v>
      </c>
      <c r="B73" s="2" t="s">
        <v>73</v>
      </c>
      <c r="C73" s="2" t="str">
        <f>VLOOKUP(B73,D.ファイターリスト!$B$5:$C$86,2,FALSE)</f>
        <v>CB</v>
      </c>
      <c r="D73" s="2">
        <v>73</v>
      </c>
      <c r="E73" s="2" t="s">
        <v>56</v>
      </c>
      <c r="F73" s="2" t="str">
        <f>VLOOKUP(E73,D.ファイターリスト!$B$5:$C$86,2,FALSE)</f>
        <v>しずえ</v>
      </c>
      <c r="G73" s="2">
        <v>0</v>
      </c>
      <c r="H73" s="2">
        <v>2</v>
      </c>
      <c r="I73" s="33" t="s">
        <v>223</v>
      </c>
    </row>
    <row r="74" spans="1:9" ht="19.2" x14ac:dyDescent="0.45">
      <c r="A74" s="2">
        <v>7</v>
      </c>
      <c r="B74" s="2" t="s">
        <v>73</v>
      </c>
      <c r="C74" s="2" t="str">
        <f>VLOOKUP(B74,D.ファイターリスト!$B$5:$C$86,2,FALSE)</f>
        <v>CB</v>
      </c>
      <c r="D74" s="2">
        <v>74</v>
      </c>
      <c r="E74" s="2" t="s">
        <v>57</v>
      </c>
      <c r="F74" s="2" t="str">
        <f>VLOOKUP(E74,D.ファイターリスト!$B$5:$C$86,2,FALSE)</f>
        <v>ガエン</v>
      </c>
      <c r="G74" s="2">
        <v>2</v>
      </c>
      <c r="H74" s="2">
        <v>6</v>
      </c>
      <c r="I74" s="33" t="s">
        <v>224</v>
      </c>
    </row>
    <row r="75" spans="1:9" x14ac:dyDescent="0.45">
      <c r="A75" s="2">
        <v>7</v>
      </c>
      <c r="B75" s="2" t="s">
        <v>73</v>
      </c>
      <c r="C75" s="2" t="str">
        <f>VLOOKUP(B75,D.ファイターリスト!$B$5:$C$86,2,FALSE)</f>
        <v>CB</v>
      </c>
      <c r="D75" s="2">
        <v>75</v>
      </c>
      <c r="E75" s="2" t="s">
        <v>58</v>
      </c>
      <c r="F75" s="2" t="str">
        <f>VLOOKUP(E75,D.ファイターリスト!$B$5:$C$86,2,FALSE)</f>
        <v>草</v>
      </c>
      <c r="G75" s="2">
        <v>0</v>
      </c>
      <c r="H75" s="2">
        <v>1</v>
      </c>
      <c r="I75" s="34"/>
    </row>
    <row r="76" spans="1:9" ht="38.4" x14ac:dyDescent="0.45">
      <c r="A76" s="2">
        <v>7</v>
      </c>
      <c r="B76" s="2" t="s">
        <v>73</v>
      </c>
      <c r="C76" s="2" t="str">
        <f>VLOOKUP(B76,D.ファイターリスト!$B$5:$C$86,2,FALSE)</f>
        <v>CB</v>
      </c>
      <c r="D76" s="2">
        <v>76</v>
      </c>
      <c r="E76" s="2" t="s">
        <v>59</v>
      </c>
      <c r="F76" s="2" t="str">
        <f>VLOOKUP(E76,D.ファイターリスト!$B$5:$C$86,2,FALSE)</f>
        <v>J</v>
      </c>
      <c r="G76" s="2">
        <v>11</v>
      </c>
      <c r="H76" s="2">
        <v>9</v>
      </c>
      <c r="I76" s="33" t="s">
        <v>225</v>
      </c>
    </row>
    <row r="77" spans="1:9" ht="28.8" x14ac:dyDescent="0.45">
      <c r="A77" s="2">
        <v>7</v>
      </c>
      <c r="B77" s="2" t="s">
        <v>73</v>
      </c>
      <c r="C77" s="2" t="str">
        <f>VLOOKUP(B77,D.ファイターリスト!$B$5:$C$86,2,FALSE)</f>
        <v>CB</v>
      </c>
      <c r="D77" s="2">
        <v>77</v>
      </c>
      <c r="E77" s="2" t="s">
        <v>60</v>
      </c>
      <c r="F77" s="2" t="str">
        <f>VLOOKUP(E77,D.ファイターリスト!$B$5:$C$86,2,FALSE)</f>
        <v>勇者</v>
      </c>
      <c r="G77" s="2">
        <v>11</v>
      </c>
      <c r="H77" s="2">
        <v>5</v>
      </c>
      <c r="I77" s="33" t="s">
        <v>226</v>
      </c>
    </row>
    <row r="78" spans="1:9" x14ac:dyDescent="0.45">
      <c r="A78" s="2">
        <v>7</v>
      </c>
      <c r="B78" s="2" t="s">
        <v>73</v>
      </c>
      <c r="C78" s="2" t="str">
        <f>VLOOKUP(B78,D.ファイターリスト!$B$5:$C$86,2,FALSE)</f>
        <v>CB</v>
      </c>
      <c r="D78" s="2">
        <v>78</v>
      </c>
      <c r="E78" s="2" t="s">
        <v>61</v>
      </c>
      <c r="F78" s="2" t="str">
        <f>VLOOKUP(E78,D.ファイターリスト!$B$5:$C$86,2,FALSE)</f>
        <v>バンカズ</v>
      </c>
      <c r="G78" s="2">
        <v>2</v>
      </c>
      <c r="H78" s="2">
        <v>1</v>
      </c>
      <c r="I78" s="34" t="s">
        <v>227</v>
      </c>
    </row>
    <row r="79" spans="1:9" ht="48" x14ac:dyDescent="0.45">
      <c r="A79" s="2">
        <v>7</v>
      </c>
      <c r="B79" s="2" t="s">
        <v>73</v>
      </c>
      <c r="C79" s="2" t="str">
        <f>VLOOKUP(B79,D.ファイターリスト!$B$5:$C$86,2,FALSE)</f>
        <v>CB</v>
      </c>
      <c r="D79" s="2">
        <v>79</v>
      </c>
      <c r="E79" s="2" t="s">
        <v>62</v>
      </c>
      <c r="F79" s="2" t="str">
        <f>VLOOKUP(E79,D.ファイターリスト!$B$5:$C$86,2,FALSE)</f>
        <v>テリー</v>
      </c>
      <c r="G79" s="2">
        <v>7</v>
      </c>
      <c r="H79" s="2">
        <v>9</v>
      </c>
      <c r="I79" s="33" t="s">
        <v>228</v>
      </c>
    </row>
    <row r="80" spans="1:9" x14ac:dyDescent="0.45">
      <c r="A80" s="2">
        <v>7</v>
      </c>
      <c r="B80" s="2" t="s">
        <v>73</v>
      </c>
      <c r="C80" s="2" t="str">
        <f>VLOOKUP(B80,D.ファイターリスト!$B$5:$C$86,2,FALSE)</f>
        <v>CB</v>
      </c>
      <c r="D80" s="2">
        <v>80</v>
      </c>
      <c r="E80" s="2" t="s">
        <v>63</v>
      </c>
      <c r="F80" s="2" t="str">
        <f>VLOOKUP(E80,D.ファイターリスト!$B$5:$C$86,2,FALSE)</f>
        <v>ベレトス</v>
      </c>
      <c r="G80" s="2">
        <v>13</v>
      </c>
      <c r="H80" s="2">
        <v>10</v>
      </c>
      <c r="I80" s="33" t="s">
        <v>229</v>
      </c>
    </row>
    <row r="81" spans="1:9" x14ac:dyDescent="0.45">
      <c r="A81" s="2">
        <v>7</v>
      </c>
      <c r="B81" s="2" t="s">
        <v>73</v>
      </c>
      <c r="C81" s="2" t="str">
        <f>VLOOKUP(B81,D.ファイターリスト!$B$5:$C$86,2,FALSE)</f>
        <v>CB</v>
      </c>
      <c r="D81" s="2">
        <v>81</v>
      </c>
      <c r="E81" s="2" t="s">
        <v>64</v>
      </c>
      <c r="F81" s="2" t="str">
        <f>VLOOKUP(E81,D.ファイターリスト!$B$5:$C$86,2,FALSE)</f>
        <v>メン</v>
      </c>
      <c r="G81" s="2">
        <v>3</v>
      </c>
      <c r="H81" s="2">
        <v>1</v>
      </c>
      <c r="I81" s="34"/>
    </row>
    <row r="82" spans="1:9" ht="19.2" x14ac:dyDescent="0.45">
      <c r="A82" s="2">
        <v>7</v>
      </c>
      <c r="B82" s="2" t="s">
        <v>73</v>
      </c>
      <c r="C82" s="2" t="str">
        <f>VLOOKUP(B82,D.ファイターリスト!$B$5:$C$86,2,FALSE)</f>
        <v>CB</v>
      </c>
      <c r="D82" s="2">
        <v>82</v>
      </c>
      <c r="E82" s="2" t="s">
        <v>65</v>
      </c>
      <c r="F82" s="2" t="str">
        <f>VLOOKUP(E82,D.ファイターリスト!$B$5:$C$86,2,FALSE)</f>
        <v>スティーブ</v>
      </c>
      <c r="G82" s="2">
        <v>2</v>
      </c>
      <c r="H82" s="2">
        <v>1</v>
      </c>
      <c r="I82" s="33" t="s">
        <v>230</v>
      </c>
    </row>
    <row r="83" spans="1:9" ht="86.4" x14ac:dyDescent="0.45">
      <c r="A83" s="2">
        <v>7</v>
      </c>
      <c r="B83" s="2" t="s">
        <v>73</v>
      </c>
      <c r="C83" s="2" t="str">
        <f>VLOOKUP(B83,D.ファイターリスト!$B$5:$C$86,2,FALSE)</f>
        <v>CB</v>
      </c>
      <c r="D83" s="2">
        <v>83</v>
      </c>
      <c r="E83" s="2" t="s">
        <v>66</v>
      </c>
      <c r="F83" s="2" t="str">
        <f>VLOOKUP(E83,D.ファイターリスト!$B$5:$C$86,2,FALSE)</f>
        <v>セフィロス</v>
      </c>
      <c r="G83" s="2">
        <v>11</v>
      </c>
      <c r="H83" s="2">
        <v>9</v>
      </c>
      <c r="I83" s="33" t="s">
        <v>231</v>
      </c>
    </row>
    <row r="84" spans="1:9" ht="19.2" x14ac:dyDescent="0.45">
      <c r="A84" s="2">
        <v>7</v>
      </c>
      <c r="B84" s="2" t="s">
        <v>73</v>
      </c>
      <c r="C84" s="2" t="str">
        <f>VLOOKUP(B84,D.ファイターリスト!$B$5:$C$86,2,FALSE)</f>
        <v>CB</v>
      </c>
      <c r="D84" s="2">
        <v>84</v>
      </c>
      <c r="E84" s="2" t="s">
        <v>67</v>
      </c>
      <c r="F84" s="2" t="str">
        <f>VLOOKUP(E84,D.ファイターリスト!$B$5:$C$86,2,FALSE)</f>
        <v>ホムヒカ</v>
      </c>
      <c r="G84" s="2">
        <v>10</v>
      </c>
      <c r="H84" s="2">
        <v>9</v>
      </c>
      <c r="I84" s="33" t="s">
        <v>232</v>
      </c>
    </row>
    <row r="85" spans="1:9" ht="38.4" x14ac:dyDescent="0.45">
      <c r="A85" s="2">
        <v>7</v>
      </c>
      <c r="B85" s="2" t="s">
        <v>73</v>
      </c>
      <c r="C85" s="2" t="str">
        <f>VLOOKUP(B85,D.ファイターリスト!$B$5:$C$86,2,FALSE)</f>
        <v>CB</v>
      </c>
      <c r="D85" s="2">
        <v>85</v>
      </c>
      <c r="E85" s="2" t="s">
        <v>68</v>
      </c>
      <c r="F85" s="2" t="str">
        <f>VLOOKUP(E85,D.ファイターリスト!$B$5:$C$86,2,FALSE)</f>
        <v>カズヤ</v>
      </c>
      <c r="G85" s="2">
        <v>16</v>
      </c>
      <c r="H85" s="2">
        <v>12</v>
      </c>
      <c r="I85" s="33" t="s">
        <v>233</v>
      </c>
    </row>
    <row r="86" spans="1:9" x14ac:dyDescent="0.45">
      <c r="A86" s="2">
        <v>7</v>
      </c>
      <c r="B86" s="2" t="s">
        <v>73</v>
      </c>
      <c r="C86" s="2" t="str">
        <f>VLOOKUP(B86,D.ファイターリスト!$B$5:$C$86,2,FALSE)</f>
        <v>CB</v>
      </c>
      <c r="D86" s="2">
        <v>86</v>
      </c>
      <c r="E86" s="2" t="s">
        <v>69</v>
      </c>
      <c r="F86" s="2" t="str">
        <f>VLOOKUP(E86,D.ファイターリスト!$B$5:$C$86,2,FALSE)</f>
        <v>ソラ</v>
      </c>
      <c r="G86" s="2">
        <v>11</v>
      </c>
      <c r="H86" s="2">
        <v>9</v>
      </c>
      <c r="I86" s="34" t="s">
        <v>234</v>
      </c>
    </row>
    <row r="87" spans="1:9" x14ac:dyDescent="0.45">
      <c r="A87" s="2">
        <v>12</v>
      </c>
      <c r="B87" s="2" t="s">
        <v>121</v>
      </c>
      <c r="C87" s="2" t="str">
        <f>VLOOKUP(B87,D.ファイターリスト!$B$5:$C$86,2,FALSE)</f>
        <v>CF</v>
      </c>
      <c r="D87" s="2">
        <v>1</v>
      </c>
      <c r="E87" s="2" t="s">
        <v>70</v>
      </c>
      <c r="F87" s="2" t="str">
        <f>VLOOKUP(E87,D.ファイターリスト!$B$5:$C$86,2,FALSE)</f>
        <v>マリオ</v>
      </c>
      <c r="G87" s="2">
        <v>2</v>
      </c>
      <c r="H87" s="2">
        <v>0</v>
      </c>
      <c r="I87" s="2"/>
    </row>
    <row r="88" spans="1:9" x14ac:dyDescent="0.45">
      <c r="A88" s="2">
        <v>12</v>
      </c>
      <c r="B88" s="2" t="s">
        <v>121</v>
      </c>
      <c r="C88" s="2" t="str">
        <f>VLOOKUP(B88,D.ファイターリスト!$B$5:$C$86,2,FALSE)</f>
        <v>CF</v>
      </c>
      <c r="D88" s="2">
        <v>2</v>
      </c>
      <c r="E88" s="2" t="s">
        <v>71</v>
      </c>
      <c r="F88" s="2" t="str">
        <f>VLOOKUP(E88,D.ファイターリスト!$B$5:$C$86,2,FALSE)</f>
        <v>DK</v>
      </c>
      <c r="G88" s="2">
        <v>0</v>
      </c>
      <c r="H88" s="2">
        <v>2</v>
      </c>
      <c r="I88" s="2"/>
    </row>
    <row r="89" spans="1:9" x14ac:dyDescent="0.45">
      <c r="A89" s="2">
        <v>12</v>
      </c>
      <c r="B89" s="2" t="s">
        <v>121</v>
      </c>
      <c r="C89" s="2" t="str">
        <f>VLOOKUP(B89,D.ファイターリスト!$B$5:$C$86,2,FALSE)</f>
        <v>CF</v>
      </c>
      <c r="D89" s="2">
        <v>3</v>
      </c>
      <c r="E89" s="2" t="s">
        <v>72</v>
      </c>
      <c r="F89" s="2" t="str">
        <f>VLOOKUP(E89,D.ファイターリスト!$B$5:$C$86,2,FALSE)</f>
        <v>リンク</v>
      </c>
      <c r="G89" s="2">
        <v>0</v>
      </c>
      <c r="H89" s="2">
        <v>1</v>
      </c>
      <c r="I89" s="2"/>
    </row>
    <row r="90" spans="1:9" x14ac:dyDescent="0.45">
      <c r="A90" s="2">
        <v>12</v>
      </c>
      <c r="B90" s="2" t="s">
        <v>121</v>
      </c>
      <c r="C90" s="2" t="str">
        <f>VLOOKUP(B90,D.ファイターリスト!$B$5:$C$86,2,FALSE)</f>
        <v>CF</v>
      </c>
      <c r="D90" s="2">
        <v>4</v>
      </c>
      <c r="E90" s="2" t="s">
        <v>114</v>
      </c>
      <c r="F90" s="2" t="str">
        <f>VLOOKUP(E90,D.ファイターリスト!$B$5:$C$86,2,FALSE)</f>
        <v>ダムス</v>
      </c>
      <c r="G90" s="2">
        <v>1</v>
      </c>
      <c r="H90" s="2">
        <v>0</v>
      </c>
      <c r="I90" s="2" t="s">
        <v>235</v>
      </c>
    </row>
    <row r="91" spans="1:9" x14ac:dyDescent="0.45">
      <c r="A91" s="2">
        <v>12</v>
      </c>
      <c r="B91" s="2" t="s">
        <v>121</v>
      </c>
      <c r="C91" s="2" t="str">
        <f>VLOOKUP(B91,D.ファイターリスト!$B$5:$C$86,2,FALSE)</f>
        <v>CF</v>
      </c>
      <c r="D91" s="2">
        <v>6</v>
      </c>
      <c r="E91" s="2" t="s">
        <v>116</v>
      </c>
      <c r="F91" s="2" t="str">
        <f>VLOOKUP(E91,D.ファイターリスト!$B$5:$C$86,2,FALSE)</f>
        <v>ヨッシー</v>
      </c>
      <c r="G91" s="2">
        <v>1</v>
      </c>
      <c r="H91" s="2">
        <v>0</v>
      </c>
      <c r="I91" s="2"/>
    </row>
    <row r="92" spans="1:9" x14ac:dyDescent="0.45">
      <c r="A92" s="2">
        <v>12</v>
      </c>
      <c r="B92" s="2" t="s">
        <v>121</v>
      </c>
      <c r="C92" s="2" t="str">
        <f>VLOOKUP(B92,D.ファイターリスト!$B$5:$C$86,2,FALSE)</f>
        <v>CF</v>
      </c>
      <c r="D92" s="2">
        <v>7</v>
      </c>
      <c r="E92" s="2" t="s">
        <v>73</v>
      </c>
      <c r="F92" s="2" t="str">
        <f>VLOOKUP(E92,D.ファイターリスト!$B$5:$C$86,2,FALSE)</f>
        <v>CB</v>
      </c>
      <c r="G92" s="2">
        <v>2</v>
      </c>
      <c r="H92" s="2">
        <v>0</v>
      </c>
      <c r="I92" s="2"/>
    </row>
    <row r="93" spans="1:9" x14ac:dyDescent="0.45">
      <c r="A93" s="2">
        <v>12</v>
      </c>
      <c r="B93" s="2" t="s">
        <v>121</v>
      </c>
      <c r="C93" s="2" t="str">
        <f>VLOOKUP(B93,D.ファイターリスト!$B$5:$C$86,2,FALSE)</f>
        <v>CF</v>
      </c>
      <c r="D93" s="2">
        <v>8</v>
      </c>
      <c r="E93" s="2" t="s">
        <v>74</v>
      </c>
      <c r="F93" s="2" t="str">
        <f>VLOOKUP(E93,D.ファイターリスト!$B$5:$C$86,2,FALSE)</f>
        <v>FX</v>
      </c>
      <c r="G93" s="2">
        <v>0</v>
      </c>
      <c r="H93" s="2">
        <v>1</v>
      </c>
      <c r="I93" s="2"/>
    </row>
    <row r="94" spans="1:9" x14ac:dyDescent="0.45">
      <c r="A94" s="2">
        <v>12</v>
      </c>
      <c r="B94" s="2" t="s">
        <v>121</v>
      </c>
      <c r="C94" s="2" t="str">
        <f>VLOOKUP(B94,D.ファイターリスト!$B$5:$C$86,2,FALSE)</f>
        <v>CF</v>
      </c>
      <c r="D94" s="2">
        <v>9</v>
      </c>
      <c r="E94" s="2" t="s">
        <v>75</v>
      </c>
      <c r="F94" s="2" t="str">
        <f>VLOOKUP(E94,D.ファイターリスト!$B$5:$C$86,2,FALSE)</f>
        <v>ピカ</v>
      </c>
      <c r="G94" s="2">
        <v>0</v>
      </c>
      <c r="H94" s="2">
        <v>0</v>
      </c>
      <c r="I94" s="2"/>
    </row>
    <row r="95" spans="1:9" x14ac:dyDescent="0.45">
      <c r="A95" s="2">
        <v>12</v>
      </c>
      <c r="B95" s="2" t="s">
        <v>121</v>
      </c>
      <c r="C95" s="2" t="str">
        <f>VLOOKUP(B95,D.ファイターリスト!$B$5:$C$86,2,FALSE)</f>
        <v>CF</v>
      </c>
      <c r="D95" s="2">
        <v>10</v>
      </c>
      <c r="E95" s="2" t="s">
        <v>2</v>
      </c>
      <c r="F95" s="2" t="str">
        <f>VLOOKUP(E95,D.ファイターリスト!$B$5:$C$86,2,FALSE)</f>
        <v>L</v>
      </c>
      <c r="G95" s="2">
        <v>0</v>
      </c>
      <c r="H95" s="2">
        <v>1</v>
      </c>
      <c r="I95" s="2"/>
    </row>
    <row r="96" spans="1:9" x14ac:dyDescent="0.45">
      <c r="A96" s="2">
        <v>12</v>
      </c>
      <c r="B96" s="2" t="s">
        <v>121</v>
      </c>
      <c r="C96" s="2" t="str">
        <f>VLOOKUP(B96,D.ファイターリスト!$B$5:$C$86,2,FALSE)</f>
        <v>CF</v>
      </c>
      <c r="D96" s="2">
        <v>11</v>
      </c>
      <c r="E96" s="2" t="s">
        <v>3</v>
      </c>
      <c r="F96" s="2" t="str">
        <f>VLOOKUP(E96,D.ファイターリスト!$B$5:$C$86,2,FALSE)</f>
        <v>ネス</v>
      </c>
      <c r="G96" s="2">
        <v>0</v>
      </c>
      <c r="H96" s="2">
        <v>1</v>
      </c>
      <c r="I96" s="2"/>
    </row>
    <row r="97" spans="1:9" x14ac:dyDescent="0.45">
      <c r="A97" s="2">
        <v>12</v>
      </c>
      <c r="B97" s="2" t="s">
        <v>121</v>
      </c>
      <c r="C97" s="2" t="str">
        <f>VLOOKUP(B97,D.ファイターリスト!$B$5:$C$86,2,FALSE)</f>
        <v>CF</v>
      </c>
      <c r="D97" s="2">
        <v>12</v>
      </c>
      <c r="E97" s="2" t="s">
        <v>121</v>
      </c>
      <c r="F97" s="2" t="str">
        <f>VLOOKUP(E97,D.ファイターリスト!$B$5:$C$86,2,FALSE)</f>
        <v>CF</v>
      </c>
      <c r="G97" s="2">
        <v>1</v>
      </c>
      <c r="H97" s="2">
        <v>2</v>
      </c>
      <c r="I97" s="2"/>
    </row>
    <row r="98" spans="1:9" x14ac:dyDescent="0.45">
      <c r="A98" s="2">
        <v>12</v>
      </c>
      <c r="B98" s="2" t="s">
        <v>121</v>
      </c>
      <c r="C98" s="2" t="str">
        <f>VLOOKUP(B98,D.ファイターリスト!$B$5:$C$86,2,FALSE)</f>
        <v>CF</v>
      </c>
      <c r="D98" s="2">
        <v>13</v>
      </c>
      <c r="E98" s="2" t="s">
        <v>4</v>
      </c>
      <c r="F98" s="2" t="str">
        <f>VLOOKUP(E98,D.ファイターリスト!$B$5:$C$86,2,FALSE)</f>
        <v>プリン</v>
      </c>
      <c r="G98" s="2">
        <v>0</v>
      </c>
      <c r="H98" s="2">
        <v>1</v>
      </c>
      <c r="I98" s="2" t="s">
        <v>236</v>
      </c>
    </row>
    <row r="99" spans="1:9" x14ac:dyDescent="0.45">
      <c r="A99" s="2">
        <v>12</v>
      </c>
      <c r="B99" s="2" t="s">
        <v>121</v>
      </c>
      <c r="C99" s="2" t="str">
        <f>VLOOKUP(B99,D.ファイターリスト!$B$5:$C$86,2,FALSE)</f>
        <v>CF</v>
      </c>
      <c r="D99" s="2">
        <v>14</v>
      </c>
      <c r="E99" s="2" t="s">
        <v>123</v>
      </c>
      <c r="F99" s="2" t="str">
        <f>VLOOKUP(E99,D.ファイターリスト!$B$5:$C$86,2,FALSE)</f>
        <v>ピチデ</v>
      </c>
      <c r="G99" s="2">
        <v>0</v>
      </c>
      <c r="H99" s="2">
        <v>0</v>
      </c>
      <c r="I99" s="2"/>
    </row>
    <row r="100" spans="1:9" x14ac:dyDescent="0.45">
      <c r="A100" s="2">
        <v>12</v>
      </c>
      <c r="B100" s="2" t="s">
        <v>121</v>
      </c>
      <c r="C100" s="2" t="str">
        <f>VLOOKUP(B100,D.ファイターリスト!$B$5:$C$86,2,FALSE)</f>
        <v>CF</v>
      </c>
      <c r="D100" s="2">
        <v>16</v>
      </c>
      <c r="E100" s="2" t="s">
        <v>5</v>
      </c>
      <c r="F100" s="2" t="str">
        <f>VLOOKUP(E100,D.ファイターリスト!$B$5:$C$86,2,FALSE)</f>
        <v>カメ</v>
      </c>
      <c r="G100" s="2">
        <v>1</v>
      </c>
      <c r="H100" s="2">
        <v>0</v>
      </c>
      <c r="I100" s="2"/>
    </row>
    <row r="101" spans="1:9" x14ac:dyDescent="0.45">
      <c r="A101" s="2">
        <v>12</v>
      </c>
      <c r="B101" s="2" t="s">
        <v>121</v>
      </c>
      <c r="C101" s="2" t="str">
        <f>VLOOKUP(B101,D.ファイターリスト!$B$5:$C$86,2,FALSE)</f>
        <v>CF</v>
      </c>
      <c r="D101" s="2">
        <v>17</v>
      </c>
      <c r="E101" s="2" t="s">
        <v>6</v>
      </c>
      <c r="F101" s="2" t="str">
        <f>VLOOKUP(E101,D.ファイターリスト!$B$5:$C$86,2,FALSE)</f>
        <v>アイクラ</v>
      </c>
      <c r="G101" s="2">
        <v>0</v>
      </c>
      <c r="H101" s="2">
        <v>0</v>
      </c>
      <c r="I101" s="2"/>
    </row>
    <row r="102" spans="1:9" x14ac:dyDescent="0.45">
      <c r="A102" s="2">
        <v>12</v>
      </c>
      <c r="B102" s="2" t="s">
        <v>121</v>
      </c>
      <c r="C102" s="2" t="str">
        <f>VLOOKUP(B102,D.ファイターリスト!$B$5:$C$86,2,FALSE)</f>
        <v>CF</v>
      </c>
      <c r="D102" s="2">
        <v>18</v>
      </c>
      <c r="E102" s="2" t="s">
        <v>7</v>
      </c>
      <c r="F102" s="2" t="str">
        <f>VLOOKUP(E102,D.ファイターリスト!$B$5:$C$86,2,FALSE)</f>
        <v>シーク</v>
      </c>
      <c r="G102" s="2">
        <v>0</v>
      </c>
      <c r="H102" s="2">
        <v>0</v>
      </c>
      <c r="I102" s="2"/>
    </row>
    <row r="103" spans="1:9" x14ac:dyDescent="0.45">
      <c r="A103" s="2">
        <v>12</v>
      </c>
      <c r="B103" s="2" t="s">
        <v>121</v>
      </c>
      <c r="C103" s="2" t="str">
        <f>VLOOKUP(B103,D.ファイターリスト!$B$5:$C$86,2,FALSE)</f>
        <v>CF</v>
      </c>
      <c r="D103" s="2">
        <v>19</v>
      </c>
      <c r="E103" s="2" t="s">
        <v>8</v>
      </c>
      <c r="F103" s="2" t="str">
        <f>VLOOKUP(E103,D.ファイターリスト!$B$5:$C$86,2,FALSE)</f>
        <v>ゼルダ</v>
      </c>
      <c r="G103" s="2">
        <v>0</v>
      </c>
      <c r="H103" s="2">
        <v>1</v>
      </c>
      <c r="I103" s="2"/>
    </row>
    <row r="104" spans="1:9" x14ac:dyDescent="0.45">
      <c r="A104" s="2">
        <v>12</v>
      </c>
      <c r="B104" s="2" t="s">
        <v>121</v>
      </c>
      <c r="C104" s="2" t="str">
        <f>VLOOKUP(B104,D.ファイターリスト!$B$5:$C$86,2,FALSE)</f>
        <v>CF</v>
      </c>
      <c r="D104" s="2">
        <v>20</v>
      </c>
      <c r="E104" s="2" t="s">
        <v>9</v>
      </c>
      <c r="F104" s="2" t="str">
        <f>VLOOKUP(E104,D.ファイターリスト!$B$5:$C$86,2,FALSE)</f>
        <v>ドクマリ</v>
      </c>
      <c r="G104" s="2">
        <v>0</v>
      </c>
      <c r="H104" s="2">
        <v>1</v>
      </c>
      <c r="I104" s="2"/>
    </row>
    <row r="105" spans="1:9" x14ac:dyDescent="0.45">
      <c r="A105" s="2">
        <v>12</v>
      </c>
      <c r="B105" s="2" t="s">
        <v>121</v>
      </c>
      <c r="C105" s="2" t="str">
        <f>VLOOKUP(B105,D.ファイターリスト!$B$5:$C$86,2,FALSE)</f>
        <v>CF</v>
      </c>
      <c r="D105" s="2">
        <v>21</v>
      </c>
      <c r="E105" s="2" t="s">
        <v>10</v>
      </c>
      <c r="F105" s="2" t="str">
        <f>VLOOKUP(E105,D.ファイターリスト!$B$5:$C$86,2,FALSE)</f>
        <v>ピチュー</v>
      </c>
      <c r="G105" s="2">
        <v>0</v>
      </c>
      <c r="H105" s="2">
        <v>0</v>
      </c>
      <c r="I105" s="2"/>
    </row>
    <row r="106" spans="1:9" x14ac:dyDescent="0.45">
      <c r="A106" s="2">
        <v>12</v>
      </c>
      <c r="B106" s="2" t="s">
        <v>121</v>
      </c>
      <c r="C106" s="2" t="str">
        <f>VLOOKUP(B106,D.ファイターリスト!$B$5:$C$86,2,FALSE)</f>
        <v>CF</v>
      </c>
      <c r="D106" s="2">
        <v>22</v>
      </c>
      <c r="E106" s="2" t="s">
        <v>11</v>
      </c>
      <c r="F106" s="2" t="str">
        <f>VLOOKUP(E106,D.ファイターリスト!$B$5:$C$86,2,FALSE)</f>
        <v>ファルコ</v>
      </c>
      <c r="G106" s="2">
        <v>1</v>
      </c>
      <c r="H106" s="2">
        <v>1</v>
      </c>
      <c r="I106" s="2"/>
    </row>
    <row r="107" spans="1:9" x14ac:dyDescent="0.45">
      <c r="A107" s="2">
        <v>12</v>
      </c>
      <c r="B107" s="2" t="s">
        <v>121</v>
      </c>
      <c r="C107" s="2" t="str">
        <f>VLOOKUP(B107,D.ファイターリスト!$B$5:$C$86,2,FALSE)</f>
        <v>CF</v>
      </c>
      <c r="D107" s="2">
        <v>23</v>
      </c>
      <c r="E107" s="2" t="s">
        <v>12</v>
      </c>
      <c r="F107" s="2" t="str">
        <f>VLOOKUP(E107,D.ファイターリスト!$B$5:$C$86,2,FALSE)</f>
        <v>マルス</v>
      </c>
      <c r="G107" s="2">
        <v>2</v>
      </c>
      <c r="H107" s="2">
        <v>0</v>
      </c>
      <c r="I107" s="2" t="s">
        <v>237</v>
      </c>
    </row>
    <row r="108" spans="1:9" x14ac:dyDescent="0.45">
      <c r="A108" s="2">
        <v>12</v>
      </c>
      <c r="B108" s="2" t="s">
        <v>121</v>
      </c>
      <c r="C108" s="2" t="str">
        <f>VLOOKUP(B108,D.ファイターリスト!$B$5:$C$86,2,FALSE)</f>
        <v>CF</v>
      </c>
      <c r="D108" s="2">
        <v>24</v>
      </c>
      <c r="E108" s="2" t="s">
        <v>13</v>
      </c>
      <c r="F108" s="2" t="str">
        <f>VLOOKUP(E108,D.ファイターリスト!$B$5:$C$86,2,FALSE)</f>
        <v>ルキナ</v>
      </c>
      <c r="G108" s="2">
        <v>1</v>
      </c>
      <c r="H108" s="2">
        <v>2</v>
      </c>
      <c r="I108" s="2" t="s">
        <v>238</v>
      </c>
    </row>
    <row r="109" spans="1:9" x14ac:dyDescent="0.45">
      <c r="A109" s="2">
        <v>12</v>
      </c>
      <c r="B109" s="2" t="s">
        <v>121</v>
      </c>
      <c r="C109" s="2" t="str">
        <f>VLOOKUP(B109,D.ファイターリスト!$B$5:$C$86,2,FALSE)</f>
        <v>CF</v>
      </c>
      <c r="D109" s="2">
        <v>25</v>
      </c>
      <c r="E109" s="2" t="s">
        <v>14</v>
      </c>
      <c r="F109" s="2" t="str">
        <f>VLOOKUP(E109,D.ファイターリスト!$B$5:$C$86,2,FALSE)</f>
        <v>ヤンリン</v>
      </c>
      <c r="G109" s="2">
        <v>1</v>
      </c>
      <c r="H109" s="2">
        <v>1</v>
      </c>
      <c r="I109" s="2" t="s">
        <v>239</v>
      </c>
    </row>
    <row r="110" spans="1:9" x14ac:dyDescent="0.45">
      <c r="A110" s="2">
        <v>12</v>
      </c>
      <c r="B110" s="2" t="s">
        <v>121</v>
      </c>
      <c r="C110" s="2" t="str">
        <f>VLOOKUP(B110,D.ファイターリスト!$B$5:$C$86,2,FALSE)</f>
        <v>CF</v>
      </c>
      <c r="D110" s="2">
        <v>26</v>
      </c>
      <c r="E110" s="2" t="s">
        <v>15</v>
      </c>
      <c r="F110" s="2" t="str">
        <f>VLOOKUP(E110,D.ファイターリスト!$B$5:$C$86,2,FALSE)</f>
        <v>ガノン</v>
      </c>
      <c r="G110" s="2">
        <v>3</v>
      </c>
      <c r="H110" s="2">
        <v>2</v>
      </c>
      <c r="I110" s="2"/>
    </row>
    <row r="111" spans="1:9" x14ac:dyDescent="0.45">
      <c r="A111" s="2">
        <v>12</v>
      </c>
      <c r="B111" s="2" t="s">
        <v>121</v>
      </c>
      <c r="C111" s="2" t="str">
        <f>VLOOKUP(B111,D.ファイターリスト!$B$5:$C$86,2,FALSE)</f>
        <v>CF</v>
      </c>
      <c r="D111" s="2">
        <v>27</v>
      </c>
      <c r="E111" s="2" t="s">
        <v>130</v>
      </c>
      <c r="F111" s="2" t="str">
        <f>VLOOKUP(E111,D.ファイターリスト!$B$5:$C$86,2,FALSE)</f>
        <v>M2</v>
      </c>
      <c r="G111" s="2">
        <v>0</v>
      </c>
      <c r="H111" s="2">
        <v>0</v>
      </c>
      <c r="I111" s="2"/>
    </row>
    <row r="112" spans="1:9" x14ac:dyDescent="0.45">
      <c r="A112" s="2">
        <v>12</v>
      </c>
      <c r="B112" s="2" t="s">
        <v>121</v>
      </c>
      <c r="C112" s="2" t="str">
        <f>VLOOKUP(B112,D.ファイターリスト!$B$5:$C$86,2,FALSE)</f>
        <v>CF</v>
      </c>
      <c r="D112" s="2">
        <v>28</v>
      </c>
      <c r="E112" s="2" t="s">
        <v>16</v>
      </c>
      <c r="F112" s="2" t="str">
        <f>VLOOKUP(E112,D.ファイターリスト!$B$5:$C$86,2,FALSE)</f>
        <v>ロイ</v>
      </c>
      <c r="G112" s="2">
        <v>1</v>
      </c>
      <c r="H112" s="2">
        <v>2</v>
      </c>
      <c r="I112" s="2"/>
    </row>
    <row r="113" spans="1:9" x14ac:dyDescent="0.45">
      <c r="A113" s="2">
        <v>12</v>
      </c>
      <c r="B113" s="2" t="s">
        <v>121</v>
      </c>
      <c r="C113" s="2" t="str">
        <f>VLOOKUP(B113,D.ファイターリスト!$B$5:$C$86,2,FALSE)</f>
        <v>CF</v>
      </c>
      <c r="D113" s="2">
        <v>29</v>
      </c>
      <c r="E113" s="2" t="s">
        <v>17</v>
      </c>
      <c r="F113" s="2" t="str">
        <f>VLOOKUP(E113,D.ファイターリスト!$B$5:$C$86,2,FALSE)</f>
        <v>クロム</v>
      </c>
      <c r="G113" s="2">
        <v>0</v>
      </c>
      <c r="H113" s="2">
        <v>0</v>
      </c>
      <c r="I113" s="2"/>
    </row>
    <row r="114" spans="1:9" x14ac:dyDescent="0.45">
      <c r="A114" s="2">
        <v>12</v>
      </c>
      <c r="B114" s="2" t="s">
        <v>121</v>
      </c>
      <c r="C114" s="2" t="str">
        <f>VLOOKUP(B114,D.ファイターリスト!$B$5:$C$86,2,FALSE)</f>
        <v>CF</v>
      </c>
      <c r="D114" s="2">
        <v>30</v>
      </c>
      <c r="E114" s="2" t="s">
        <v>132</v>
      </c>
      <c r="F114" s="2" t="str">
        <f>VLOOKUP(E114,D.ファイターリスト!$B$5:$C$86,2,FALSE)</f>
        <v>ゲッチ</v>
      </c>
      <c r="G114" s="2">
        <v>0</v>
      </c>
      <c r="H114" s="2">
        <v>0</v>
      </c>
      <c r="I114" s="2"/>
    </row>
    <row r="115" spans="1:9" x14ac:dyDescent="0.45">
      <c r="A115" s="2">
        <v>12</v>
      </c>
      <c r="B115" s="2" t="s">
        <v>121</v>
      </c>
      <c r="C115" s="2" t="str">
        <f>VLOOKUP(B115,D.ファイターリスト!$B$5:$C$86,2,FALSE)</f>
        <v>CF</v>
      </c>
      <c r="D115" s="2">
        <v>31</v>
      </c>
      <c r="E115" s="2" t="s">
        <v>18</v>
      </c>
      <c r="F115" s="2" t="str">
        <f>VLOOKUP(E115,D.ファイターリスト!$B$5:$C$86,2,FALSE)</f>
        <v>メタ</v>
      </c>
      <c r="G115" s="2">
        <v>0</v>
      </c>
      <c r="H115" s="2">
        <v>0</v>
      </c>
      <c r="I115" s="2"/>
    </row>
    <row r="116" spans="1:9" x14ac:dyDescent="0.45">
      <c r="A116" s="2">
        <v>12</v>
      </c>
      <c r="B116" s="2" t="s">
        <v>121</v>
      </c>
      <c r="C116" s="2" t="str">
        <f>VLOOKUP(B116,D.ファイターリスト!$B$5:$C$86,2,FALSE)</f>
        <v>CF</v>
      </c>
      <c r="D116" s="2">
        <v>32</v>
      </c>
      <c r="E116" s="2" t="s">
        <v>135</v>
      </c>
      <c r="F116" s="2" t="str">
        <f>VLOOKUP(E116,D.ファイターリスト!$B$5:$C$86,2,FALSE)</f>
        <v>ブラピ</v>
      </c>
      <c r="G116" s="2">
        <v>2</v>
      </c>
      <c r="H116" s="2">
        <v>0</v>
      </c>
      <c r="I116" s="2" t="s">
        <v>240</v>
      </c>
    </row>
    <row r="117" spans="1:9" x14ac:dyDescent="0.45">
      <c r="A117" s="2">
        <v>12</v>
      </c>
      <c r="B117" s="2" t="s">
        <v>121</v>
      </c>
      <c r="C117" s="2" t="str">
        <f>VLOOKUP(B117,D.ファイターリスト!$B$5:$C$86,2,FALSE)</f>
        <v>CF</v>
      </c>
      <c r="D117" s="2">
        <v>34</v>
      </c>
      <c r="E117" s="2" t="s">
        <v>19</v>
      </c>
      <c r="F117" s="2" t="str">
        <f>VLOOKUP(E117,D.ファイターリスト!$B$5:$C$86,2,FALSE)</f>
        <v>ゼロサム</v>
      </c>
      <c r="G117" s="2">
        <v>2</v>
      </c>
      <c r="H117" s="2">
        <v>0</v>
      </c>
      <c r="I117" s="2"/>
    </row>
    <row r="118" spans="1:9" x14ac:dyDescent="0.45">
      <c r="A118" s="2">
        <v>12</v>
      </c>
      <c r="B118" s="2" t="s">
        <v>121</v>
      </c>
      <c r="C118" s="2" t="str">
        <f>VLOOKUP(B118,D.ファイターリスト!$B$5:$C$86,2,FALSE)</f>
        <v>CF</v>
      </c>
      <c r="D118" s="2">
        <v>35</v>
      </c>
      <c r="E118" s="2" t="s">
        <v>20</v>
      </c>
      <c r="F118" s="2" t="str">
        <f>VLOOKUP(E118,D.ファイターリスト!$B$5:$C$86,2,FALSE)</f>
        <v>ワリオ</v>
      </c>
      <c r="G118" s="2">
        <v>1</v>
      </c>
      <c r="H118" s="2">
        <v>0</v>
      </c>
      <c r="I118" s="2"/>
    </row>
    <row r="119" spans="1:9" x14ac:dyDescent="0.45">
      <c r="A119" s="2">
        <v>12</v>
      </c>
      <c r="B119" s="2" t="s">
        <v>121</v>
      </c>
      <c r="C119" s="2" t="str">
        <f>VLOOKUP(B119,D.ファイターリスト!$B$5:$C$86,2,FALSE)</f>
        <v>CF</v>
      </c>
      <c r="D119" s="2">
        <v>36</v>
      </c>
      <c r="E119" s="2" t="s">
        <v>21</v>
      </c>
      <c r="F119" s="2" t="str">
        <f>VLOOKUP(E119,D.ファイターリスト!$B$5:$C$86,2,FALSE)</f>
        <v>スネーク</v>
      </c>
      <c r="G119" s="2">
        <v>0</v>
      </c>
      <c r="H119" s="2">
        <v>0</v>
      </c>
      <c r="I119" s="2"/>
    </row>
    <row r="120" spans="1:9" x14ac:dyDescent="0.45">
      <c r="A120" s="2">
        <v>12</v>
      </c>
      <c r="B120" s="2" t="s">
        <v>121</v>
      </c>
      <c r="C120" s="2" t="str">
        <f>VLOOKUP(B120,D.ファイターリスト!$B$5:$C$86,2,FALSE)</f>
        <v>CF</v>
      </c>
      <c r="D120" s="2">
        <v>37</v>
      </c>
      <c r="E120" s="2" t="s">
        <v>22</v>
      </c>
      <c r="F120" s="2" t="str">
        <f>VLOOKUP(E120,D.ファイターリスト!$B$5:$C$86,2,FALSE)</f>
        <v>アイクラ</v>
      </c>
      <c r="G120" s="2">
        <v>0</v>
      </c>
      <c r="H120" s="2">
        <v>1</v>
      </c>
      <c r="I120" s="2"/>
    </row>
    <row r="121" spans="1:9" x14ac:dyDescent="0.45">
      <c r="A121" s="2">
        <v>12</v>
      </c>
      <c r="B121" s="2" t="s">
        <v>121</v>
      </c>
      <c r="C121" s="2" t="str">
        <f>VLOOKUP(B121,D.ファイターリスト!$B$5:$C$86,2,FALSE)</f>
        <v>CF</v>
      </c>
      <c r="D121" s="2">
        <v>38</v>
      </c>
      <c r="E121" s="2" t="s">
        <v>23</v>
      </c>
      <c r="F121" s="2" t="str">
        <f>VLOOKUP(E121,D.ファイターリスト!$B$5:$C$86,2,FALSE)</f>
        <v>ポケトレ</v>
      </c>
      <c r="G121" s="2">
        <v>0</v>
      </c>
      <c r="H121" s="2">
        <v>0</v>
      </c>
      <c r="I121" s="2"/>
    </row>
    <row r="122" spans="1:9" x14ac:dyDescent="0.45">
      <c r="A122" s="2">
        <v>12</v>
      </c>
      <c r="B122" s="2" t="s">
        <v>121</v>
      </c>
      <c r="C122" s="2" t="str">
        <f>VLOOKUP(B122,D.ファイターリスト!$B$5:$C$86,2,FALSE)</f>
        <v>CF</v>
      </c>
      <c r="D122" s="2">
        <v>39</v>
      </c>
      <c r="E122" s="2" t="s">
        <v>24</v>
      </c>
      <c r="F122" s="2" t="str">
        <f>VLOOKUP(E122,D.ファイターリスト!$B$5:$C$86,2,FALSE)</f>
        <v>DD</v>
      </c>
      <c r="G122" s="2">
        <v>0</v>
      </c>
      <c r="H122" s="2">
        <v>0</v>
      </c>
      <c r="I122" s="2"/>
    </row>
    <row r="123" spans="1:9" x14ac:dyDescent="0.45">
      <c r="A123" s="2">
        <v>12</v>
      </c>
      <c r="B123" s="2" t="s">
        <v>121</v>
      </c>
      <c r="C123" s="2" t="str">
        <f>VLOOKUP(B123,D.ファイターリスト!$B$5:$C$86,2,FALSE)</f>
        <v>CF</v>
      </c>
      <c r="D123" s="2">
        <v>40</v>
      </c>
      <c r="E123" s="2" t="s">
        <v>25</v>
      </c>
      <c r="F123" s="2" t="str">
        <f>VLOOKUP(E123,D.ファイターリスト!$B$5:$C$86,2,FALSE)</f>
        <v>リュカ</v>
      </c>
      <c r="G123" s="2">
        <v>0</v>
      </c>
      <c r="H123" s="2">
        <v>0</v>
      </c>
      <c r="I123" s="2"/>
    </row>
    <row r="124" spans="1:9" x14ac:dyDescent="0.45">
      <c r="A124" s="2">
        <v>12</v>
      </c>
      <c r="B124" s="2" t="s">
        <v>121</v>
      </c>
      <c r="C124" s="2" t="str">
        <f>VLOOKUP(B124,D.ファイターリスト!$B$5:$C$86,2,FALSE)</f>
        <v>CF</v>
      </c>
      <c r="D124" s="2">
        <v>41</v>
      </c>
      <c r="E124" s="2" t="s">
        <v>26</v>
      </c>
      <c r="F124" s="2" t="str">
        <f>VLOOKUP(E124,D.ファイターリスト!$B$5:$C$86,2,FALSE)</f>
        <v>ソニック</v>
      </c>
      <c r="G124" s="2">
        <v>0</v>
      </c>
      <c r="H124" s="2">
        <v>0</v>
      </c>
      <c r="I124" s="2"/>
    </row>
    <row r="125" spans="1:9" x14ac:dyDescent="0.45">
      <c r="A125" s="2">
        <v>12</v>
      </c>
      <c r="B125" s="2" t="s">
        <v>121</v>
      </c>
      <c r="C125" s="2" t="str">
        <f>VLOOKUP(B125,D.ファイターリスト!$B$5:$C$86,2,FALSE)</f>
        <v>CF</v>
      </c>
      <c r="D125" s="2">
        <v>42</v>
      </c>
      <c r="E125" s="2" t="s">
        <v>27</v>
      </c>
      <c r="F125" s="2" t="str">
        <f>VLOOKUP(E125,D.ファイターリスト!$B$5:$C$86,2,FALSE)</f>
        <v>DDD</v>
      </c>
      <c r="G125" s="2">
        <v>0</v>
      </c>
      <c r="H125" s="2">
        <v>0</v>
      </c>
      <c r="I125" s="2"/>
    </row>
    <row r="126" spans="1:9" x14ac:dyDescent="0.45">
      <c r="A126" s="2">
        <v>12</v>
      </c>
      <c r="B126" s="2" t="s">
        <v>121</v>
      </c>
      <c r="C126" s="2" t="str">
        <f>VLOOKUP(B126,D.ファイターリスト!$B$5:$C$86,2,FALSE)</f>
        <v>CF</v>
      </c>
      <c r="D126" s="2">
        <v>43</v>
      </c>
      <c r="E126" s="2" t="s">
        <v>28</v>
      </c>
      <c r="F126" s="2" t="str">
        <f>VLOOKUP(E126,D.ファイターリスト!$B$5:$C$86,2,FALSE)</f>
        <v>ピクオリ</v>
      </c>
      <c r="G126" s="2">
        <v>0</v>
      </c>
      <c r="H126" s="2">
        <v>0</v>
      </c>
      <c r="I126" s="2"/>
    </row>
    <row r="127" spans="1:9" x14ac:dyDescent="0.45">
      <c r="A127" s="2">
        <v>12</v>
      </c>
      <c r="B127" s="2" t="s">
        <v>121</v>
      </c>
      <c r="C127" s="2" t="str">
        <f>VLOOKUP(B127,D.ファイターリスト!$B$5:$C$86,2,FALSE)</f>
        <v>CF</v>
      </c>
      <c r="D127" s="2">
        <v>44</v>
      </c>
      <c r="E127" s="2" t="s">
        <v>29</v>
      </c>
      <c r="F127" s="2" t="str">
        <f>VLOOKUP(E127,D.ファイターリスト!$B$5:$C$86,2,FALSE)</f>
        <v>ルカリオ</v>
      </c>
      <c r="G127" s="2">
        <v>0</v>
      </c>
      <c r="H127" s="2">
        <v>0</v>
      </c>
      <c r="I127" s="2"/>
    </row>
    <row r="128" spans="1:9" x14ac:dyDescent="0.45">
      <c r="A128" s="2">
        <v>12</v>
      </c>
      <c r="B128" s="2" t="s">
        <v>121</v>
      </c>
      <c r="C128" s="2" t="str">
        <f>VLOOKUP(B128,D.ファイターリスト!$B$5:$C$86,2,FALSE)</f>
        <v>CF</v>
      </c>
      <c r="D128" s="2">
        <v>45</v>
      </c>
      <c r="E128" s="2" t="s">
        <v>30</v>
      </c>
      <c r="F128" s="2" t="str">
        <f>VLOOKUP(E128,D.ファイターリスト!$B$5:$C$86,2,FALSE)</f>
        <v>ロボット</v>
      </c>
      <c r="G128" s="2">
        <v>0</v>
      </c>
      <c r="H128" s="2">
        <v>1</v>
      </c>
      <c r="I128" s="2"/>
    </row>
    <row r="129" spans="1:9" x14ac:dyDescent="0.45">
      <c r="A129" s="2">
        <v>12</v>
      </c>
      <c r="B129" s="2" t="s">
        <v>121</v>
      </c>
      <c r="C129" s="2" t="str">
        <f>VLOOKUP(B129,D.ファイターリスト!$B$5:$C$86,2,FALSE)</f>
        <v>CF</v>
      </c>
      <c r="D129" s="2">
        <v>46</v>
      </c>
      <c r="E129" s="2" t="s">
        <v>31</v>
      </c>
      <c r="F129" s="2" t="str">
        <f>VLOOKUP(E129,D.ファイターリスト!$B$5:$C$86,2,FALSE)</f>
        <v>トリン</v>
      </c>
      <c r="G129" s="2">
        <v>0</v>
      </c>
      <c r="H129" s="2">
        <v>0</v>
      </c>
      <c r="I129" s="2"/>
    </row>
    <row r="130" spans="1:9" x14ac:dyDescent="0.45">
      <c r="A130" s="2">
        <v>12</v>
      </c>
      <c r="B130" s="2" t="s">
        <v>121</v>
      </c>
      <c r="C130" s="2" t="str">
        <f>VLOOKUP(B130,D.ファイターリスト!$B$5:$C$86,2,FALSE)</f>
        <v>CF</v>
      </c>
      <c r="D130" s="2">
        <v>47</v>
      </c>
      <c r="E130" s="2" t="s">
        <v>32</v>
      </c>
      <c r="F130" s="2" t="str">
        <f>VLOOKUP(E130,D.ファイターリスト!$B$5:$C$86,2,FALSE)</f>
        <v>ウルフ</v>
      </c>
      <c r="G130" s="2">
        <v>0</v>
      </c>
      <c r="H130" s="2">
        <v>0</v>
      </c>
      <c r="I130" s="2"/>
    </row>
    <row r="131" spans="1:9" x14ac:dyDescent="0.45">
      <c r="A131" s="2">
        <v>12</v>
      </c>
      <c r="B131" s="2" t="s">
        <v>121</v>
      </c>
      <c r="C131" s="2" t="str">
        <f>VLOOKUP(B131,D.ファイターリスト!$B$5:$C$86,2,FALSE)</f>
        <v>CF</v>
      </c>
      <c r="D131" s="2">
        <v>48</v>
      </c>
      <c r="E131" s="2" t="s">
        <v>33</v>
      </c>
      <c r="F131" s="2" t="str">
        <f>VLOOKUP(E131,D.ファイターリスト!$B$5:$C$86,2,FALSE)</f>
        <v>むらびと</v>
      </c>
      <c r="G131" s="2">
        <v>1</v>
      </c>
      <c r="H131" s="2">
        <v>0</v>
      </c>
      <c r="I131" s="2"/>
    </row>
    <row r="132" spans="1:9" x14ac:dyDescent="0.45">
      <c r="A132" s="2">
        <v>12</v>
      </c>
      <c r="B132" s="2" t="s">
        <v>121</v>
      </c>
      <c r="C132" s="2" t="str">
        <f>VLOOKUP(B132,D.ファイターリスト!$B$5:$C$86,2,FALSE)</f>
        <v>CF</v>
      </c>
      <c r="D132" s="2">
        <v>49</v>
      </c>
      <c r="E132" s="2" t="s">
        <v>34</v>
      </c>
      <c r="F132" s="2" t="str">
        <f>VLOOKUP(E132,D.ファイターリスト!$B$5:$C$86,2,FALSE)</f>
        <v>岩</v>
      </c>
      <c r="G132" s="2">
        <v>0</v>
      </c>
      <c r="H132" s="2">
        <v>0</v>
      </c>
      <c r="I132" s="2"/>
    </row>
    <row r="133" spans="1:9" x14ac:dyDescent="0.45">
      <c r="A133" s="2">
        <v>12</v>
      </c>
      <c r="B133" s="2" t="s">
        <v>121</v>
      </c>
      <c r="C133" s="2" t="str">
        <f>VLOOKUP(B133,D.ファイターリスト!$B$5:$C$86,2,FALSE)</f>
        <v>CF</v>
      </c>
      <c r="D133" s="2">
        <v>50</v>
      </c>
      <c r="E133" s="2" t="s">
        <v>35</v>
      </c>
      <c r="F133" s="2" t="str">
        <f>VLOOKUP(E133,D.ファイターリスト!$B$5:$C$86,2,FALSE)</f>
        <v>フィットレ</v>
      </c>
      <c r="G133" s="2">
        <v>0</v>
      </c>
      <c r="H133" s="2">
        <v>0</v>
      </c>
      <c r="I133" s="2"/>
    </row>
    <row r="134" spans="1:9" x14ac:dyDescent="0.45">
      <c r="A134" s="2">
        <v>12</v>
      </c>
      <c r="B134" s="2" t="s">
        <v>121</v>
      </c>
      <c r="C134" s="2" t="str">
        <f>VLOOKUP(B134,D.ファイターリスト!$B$5:$C$86,2,FALSE)</f>
        <v>CF</v>
      </c>
      <c r="D134" s="2">
        <v>51</v>
      </c>
      <c r="E134" s="2" t="s">
        <v>36</v>
      </c>
      <c r="F134" s="2" t="str">
        <f>VLOOKUP(E134,D.ファイターリスト!$B$5:$C$86,2,FALSE)</f>
        <v>ロゼチコ</v>
      </c>
      <c r="G134" s="2">
        <v>0</v>
      </c>
      <c r="H134" s="2">
        <v>1</v>
      </c>
      <c r="I134" s="2" t="s">
        <v>241</v>
      </c>
    </row>
    <row r="135" spans="1:9" x14ac:dyDescent="0.45">
      <c r="A135" s="2">
        <v>12</v>
      </c>
      <c r="B135" s="2" t="s">
        <v>121</v>
      </c>
      <c r="C135" s="2" t="str">
        <f>VLOOKUP(B135,D.ファイターリスト!$B$5:$C$86,2,FALSE)</f>
        <v>CF</v>
      </c>
      <c r="D135" s="2">
        <v>52</v>
      </c>
      <c r="E135" s="2" t="s">
        <v>37</v>
      </c>
      <c r="F135" s="2" t="str">
        <f>VLOOKUP(E135,D.ファイターリスト!$B$5:$C$86,2,FALSE)</f>
        <v>リトマ</v>
      </c>
      <c r="G135" s="2">
        <v>0</v>
      </c>
      <c r="H135" s="2">
        <v>1</v>
      </c>
      <c r="I135" s="2"/>
    </row>
    <row r="136" spans="1:9" x14ac:dyDescent="0.45">
      <c r="A136" s="2">
        <v>12</v>
      </c>
      <c r="B136" s="2" t="s">
        <v>121</v>
      </c>
      <c r="C136" s="2" t="str">
        <f>VLOOKUP(B136,D.ファイターリスト!$B$5:$C$86,2,FALSE)</f>
        <v>CF</v>
      </c>
      <c r="D136" s="2">
        <v>53</v>
      </c>
      <c r="E136" s="2" t="s">
        <v>38</v>
      </c>
      <c r="F136" s="2" t="str">
        <f>VLOOKUP(E136,D.ファイターリスト!$B$5:$C$86,2,FALSE)</f>
        <v>ゲコ</v>
      </c>
      <c r="G136" s="2">
        <v>0</v>
      </c>
      <c r="H136" s="2">
        <v>0</v>
      </c>
      <c r="I136" s="2"/>
    </row>
    <row r="137" spans="1:9" x14ac:dyDescent="0.45">
      <c r="A137" s="2">
        <v>12</v>
      </c>
      <c r="B137" s="2" t="s">
        <v>121</v>
      </c>
      <c r="C137" s="2" t="str">
        <f>VLOOKUP(B137,D.ファイターリスト!$B$5:$C$86,2,FALSE)</f>
        <v>CF</v>
      </c>
      <c r="D137" s="2">
        <v>54</v>
      </c>
      <c r="E137" s="2" t="s">
        <v>39</v>
      </c>
      <c r="F137" s="2" t="str">
        <f>VLOOKUP(E137,D.ファイターリスト!$B$5:$C$86,2,FALSE)</f>
        <v>カクミ</v>
      </c>
      <c r="G137" s="2">
        <v>1</v>
      </c>
      <c r="H137" s="2">
        <v>0</v>
      </c>
      <c r="I137" s="2"/>
    </row>
    <row r="138" spans="1:9" x14ac:dyDescent="0.45">
      <c r="A138" s="2">
        <v>12</v>
      </c>
      <c r="B138" s="2" t="s">
        <v>121</v>
      </c>
      <c r="C138" s="2" t="str">
        <f>VLOOKUP(B138,D.ファイターリスト!$B$5:$C$86,2,FALSE)</f>
        <v>CF</v>
      </c>
      <c r="D138" s="2">
        <v>55</v>
      </c>
      <c r="E138" s="2" t="s">
        <v>40</v>
      </c>
      <c r="F138" s="2" t="str">
        <f>VLOOKUP(E138,D.ファイターリスト!$B$5:$C$86,2,FALSE)</f>
        <v>ケンミ</v>
      </c>
      <c r="G138" s="2">
        <v>0</v>
      </c>
      <c r="H138" s="2">
        <v>0</v>
      </c>
      <c r="I138" s="2"/>
    </row>
    <row r="139" spans="1:9" x14ac:dyDescent="0.45">
      <c r="A139" s="2">
        <v>12</v>
      </c>
      <c r="B139" s="2" t="s">
        <v>121</v>
      </c>
      <c r="C139" s="2" t="str">
        <f>VLOOKUP(B139,D.ファイターリスト!$B$5:$C$86,2,FALSE)</f>
        <v>CF</v>
      </c>
      <c r="D139" s="2">
        <v>56</v>
      </c>
      <c r="E139" s="2" t="s">
        <v>41</v>
      </c>
      <c r="F139" s="2" t="str">
        <f>VLOOKUP(E139,D.ファイターリスト!$B$5:$C$86,2,FALSE)</f>
        <v>シャゲミ</v>
      </c>
      <c r="G139" s="2">
        <v>0</v>
      </c>
      <c r="H139" s="2">
        <v>0</v>
      </c>
      <c r="I139" s="2"/>
    </row>
    <row r="140" spans="1:9" x14ac:dyDescent="0.45">
      <c r="A140" s="2">
        <v>12</v>
      </c>
      <c r="B140" s="2" t="s">
        <v>121</v>
      </c>
      <c r="C140" s="2" t="str">
        <f>VLOOKUP(B140,D.ファイターリスト!$B$5:$C$86,2,FALSE)</f>
        <v>CF</v>
      </c>
      <c r="D140" s="2">
        <v>57</v>
      </c>
      <c r="E140" s="2" t="s">
        <v>42</v>
      </c>
      <c r="F140" s="2" t="str">
        <f>VLOOKUP(E140,D.ファイターリスト!$B$5:$C$86,2,FALSE)</f>
        <v>パルテナ</v>
      </c>
      <c r="G140" s="2">
        <v>0</v>
      </c>
      <c r="H140" s="2">
        <v>0</v>
      </c>
      <c r="I140" s="2"/>
    </row>
    <row r="141" spans="1:9" x14ac:dyDescent="0.45">
      <c r="A141" s="2">
        <v>12</v>
      </c>
      <c r="B141" s="2" t="s">
        <v>121</v>
      </c>
      <c r="C141" s="2" t="str">
        <f>VLOOKUP(B141,D.ファイターリスト!$B$5:$C$86,2,FALSE)</f>
        <v>CF</v>
      </c>
      <c r="D141" s="2">
        <v>58</v>
      </c>
      <c r="E141" s="2" t="s">
        <v>43</v>
      </c>
      <c r="F141" s="2" t="str">
        <f>VLOOKUP(E141,D.ファイターリスト!$B$5:$C$86,2,FALSE)</f>
        <v>金玉</v>
      </c>
      <c r="G141" s="2">
        <v>0</v>
      </c>
      <c r="H141" s="2">
        <v>0</v>
      </c>
      <c r="I141" s="2"/>
    </row>
    <row r="142" spans="1:9" x14ac:dyDescent="0.45">
      <c r="A142" s="2">
        <v>12</v>
      </c>
      <c r="B142" s="2" t="s">
        <v>121</v>
      </c>
      <c r="C142" s="2" t="str">
        <f>VLOOKUP(B142,D.ファイターリスト!$B$5:$C$86,2,FALSE)</f>
        <v>CF</v>
      </c>
      <c r="D142" s="2">
        <v>59</v>
      </c>
      <c r="E142" s="2" t="s">
        <v>44</v>
      </c>
      <c r="F142" s="2" t="str">
        <f>VLOOKUP(E142,D.ファイターリスト!$B$5:$C$86,2,FALSE)</f>
        <v>ルフレ</v>
      </c>
      <c r="G142" s="2">
        <v>0</v>
      </c>
      <c r="H142" s="2">
        <v>0</v>
      </c>
      <c r="I142" s="2"/>
    </row>
    <row r="143" spans="1:9" x14ac:dyDescent="0.45">
      <c r="A143" s="2">
        <v>12</v>
      </c>
      <c r="B143" s="2" t="s">
        <v>121</v>
      </c>
      <c r="C143" s="2" t="str">
        <f>VLOOKUP(B143,D.ファイターリスト!$B$5:$C$86,2,FALSE)</f>
        <v>CF</v>
      </c>
      <c r="D143" s="2">
        <v>60</v>
      </c>
      <c r="E143" s="2" t="s">
        <v>45</v>
      </c>
      <c r="F143" s="2" t="str">
        <f>VLOOKUP(E143,D.ファイターリスト!$B$5:$C$86,2,FALSE)</f>
        <v>手越</v>
      </c>
      <c r="G143" s="2">
        <v>0</v>
      </c>
      <c r="H143" s="2">
        <v>0</v>
      </c>
      <c r="I143" s="2"/>
    </row>
    <row r="144" spans="1:9" x14ac:dyDescent="0.45">
      <c r="A144" s="2">
        <v>12</v>
      </c>
      <c r="B144" s="2" t="s">
        <v>121</v>
      </c>
      <c r="C144" s="2" t="str">
        <f>VLOOKUP(B144,D.ファイターリスト!$B$5:$C$86,2,FALSE)</f>
        <v>CF</v>
      </c>
      <c r="D144" s="2">
        <v>61</v>
      </c>
      <c r="E144" s="2" t="s">
        <v>46</v>
      </c>
      <c r="F144" s="2" t="str">
        <f>VLOOKUP(E144,D.ファイターリスト!$B$5:$C$86,2,FALSE)</f>
        <v>パジュニ</v>
      </c>
      <c r="G144" s="2">
        <v>0</v>
      </c>
      <c r="H144" s="2">
        <v>0</v>
      </c>
      <c r="I144" s="2"/>
    </row>
    <row r="145" spans="1:9" x14ac:dyDescent="0.45">
      <c r="A145" s="2">
        <v>12</v>
      </c>
      <c r="B145" s="2" t="s">
        <v>121</v>
      </c>
      <c r="C145" s="2" t="str">
        <f>VLOOKUP(B145,D.ファイターリスト!$B$5:$C$86,2,FALSE)</f>
        <v>CF</v>
      </c>
      <c r="D145" s="2">
        <v>62</v>
      </c>
      <c r="E145" s="2" t="s">
        <v>47</v>
      </c>
      <c r="F145" s="2" t="str">
        <f>VLOOKUP(E145,D.ファイターリスト!$B$5:$C$86,2,FALSE)</f>
        <v>犬</v>
      </c>
      <c r="G145" s="2">
        <v>0</v>
      </c>
      <c r="H145" s="2">
        <v>0</v>
      </c>
      <c r="I145" s="2"/>
    </row>
    <row r="146" spans="1:9" x14ac:dyDescent="0.45">
      <c r="A146" s="2">
        <v>12</v>
      </c>
      <c r="B146" s="2" t="s">
        <v>121</v>
      </c>
      <c r="C146" s="2" t="str">
        <f>VLOOKUP(B146,D.ファイターリスト!$B$5:$C$86,2,FALSE)</f>
        <v>CF</v>
      </c>
      <c r="D146" s="2">
        <v>63</v>
      </c>
      <c r="E146" s="2" t="s">
        <v>48</v>
      </c>
      <c r="F146" s="2" t="str">
        <f>VLOOKUP(E146,D.ファイターリスト!$B$5:$C$86,2,FALSE)</f>
        <v>リュウ</v>
      </c>
      <c r="G146" s="2">
        <v>0</v>
      </c>
      <c r="H146" s="2">
        <v>0</v>
      </c>
      <c r="I146" s="2"/>
    </row>
    <row r="147" spans="1:9" x14ac:dyDescent="0.45">
      <c r="A147" s="2">
        <v>12</v>
      </c>
      <c r="B147" s="2" t="s">
        <v>121</v>
      </c>
      <c r="C147" s="2" t="str">
        <f>VLOOKUP(B147,D.ファイターリスト!$B$5:$C$86,2,FALSE)</f>
        <v>CF</v>
      </c>
      <c r="D147" s="2">
        <v>64</v>
      </c>
      <c r="E147" s="2" t="s">
        <v>49</v>
      </c>
      <c r="F147" s="2" t="str">
        <f>VLOOKUP(E147,D.ファイターリスト!$B$5:$C$86,2,FALSE)</f>
        <v>剣</v>
      </c>
      <c r="G147" s="2">
        <v>0</v>
      </c>
      <c r="H147" s="2">
        <v>0</v>
      </c>
      <c r="I147" s="2"/>
    </row>
    <row r="148" spans="1:9" x14ac:dyDescent="0.45">
      <c r="A148" s="2">
        <v>12</v>
      </c>
      <c r="B148" s="2" t="s">
        <v>121</v>
      </c>
      <c r="C148" s="2" t="str">
        <f>VLOOKUP(B148,D.ファイターリスト!$B$5:$C$86,2,FALSE)</f>
        <v>CF</v>
      </c>
      <c r="D148" s="2">
        <v>65</v>
      </c>
      <c r="E148" s="2" t="s">
        <v>50</v>
      </c>
      <c r="F148" s="2" t="str">
        <f>VLOOKUP(E148,D.ファイターリスト!$B$5:$C$86,2,FALSE)</f>
        <v>クラウド</v>
      </c>
      <c r="G148" s="2">
        <v>2</v>
      </c>
      <c r="H148" s="2">
        <v>1</v>
      </c>
      <c r="I148" s="2"/>
    </row>
    <row r="149" spans="1:9" x14ac:dyDescent="0.45">
      <c r="A149" s="2">
        <v>12</v>
      </c>
      <c r="B149" s="2" t="s">
        <v>121</v>
      </c>
      <c r="C149" s="2" t="str">
        <f>VLOOKUP(B149,D.ファイターリスト!$B$5:$C$86,2,FALSE)</f>
        <v>CF</v>
      </c>
      <c r="D149" s="2">
        <v>66</v>
      </c>
      <c r="E149" s="2" t="s">
        <v>51</v>
      </c>
      <c r="F149" s="2" t="str">
        <f>VLOOKUP(E149,D.ファイターリスト!$B$5:$C$86,2,FALSE)</f>
        <v>カムイ</v>
      </c>
      <c r="G149" s="2">
        <v>1</v>
      </c>
      <c r="H149" s="2">
        <v>0</v>
      </c>
      <c r="I149" s="2"/>
    </row>
    <row r="150" spans="1:9" x14ac:dyDescent="0.45">
      <c r="A150" s="2">
        <v>12</v>
      </c>
      <c r="B150" s="2" t="s">
        <v>121</v>
      </c>
      <c r="C150" s="2" t="str">
        <f>VLOOKUP(B150,D.ファイターリスト!$B$5:$C$86,2,FALSE)</f>
        <v>CF</v>
      </c>
      <c r="D150" s="2">
        <v>67</v>
      </c>
      <c r="E150" s="2" t="s">
        <v>52</v>
      </c>
      <c r="F150" s="2" t="str">
        <f>VLOOKUP(E150,D.ファイターリスト!$B$5:$C$86,2,FALSE)</f>
        <v>ベヨネッタ</v>
      </c>
      <c r="G150" s="2">
        <v>0</v>
      </c>
      <c r="H150" s="2">
        <v>0</v>
      </c>
      <c r="I150" s="2"/>
    </row>
    <row r="151" spans="1:9" x14ac:dyDescent="0.45">
      <c r="A151" s="2">
        <v>12</v>
      </c>
      <c r="B151" s="2" t="s">
        <v>121</v>
      </c>
      <c r="C151" s="2" t="str">
        <f>VLOOKUP(B151,D.ファイターリスト!$B$5:$C$86,2,FALSE)</f>
        <v>CF</v>
      </c>
      <c r="D151" s="2">
        <v>68</v>
      </c>
      <c r="E151" s="2" t="s">
        <v>53</v>
      </c>
      <c r="F151" s="2" t="str">
        <f>VLOOKUP(E151,D.ファイターリスト!$B$5:$C$86,2,FALSE)</f>
        <v>イカ</v>
      </c>
      <c r="G151" s="2">
        <v>0</v>
      </c>
      <c r="H151" s="2">
        <v>0</v>
      </c>
      <c r="I151" s="2"/>
    </row>
    <row r="152" spans="1:9" x14ac:dyDescent="0.45">
      <c r="A152" s="2">
        <v>12</v>
      </c>
      <c r="B152" s="2" t="s">
        <v>121</v>
      </c>
      <c r="C152" s="2" t="str">
        <f>VLOOKUP(B152,D.ファイターリスト!$B$5:$C$86,2,FALSE)</f>
        <v>CF</v>
      </c>
      <c r="D152" s="2">
        <v>69</v>
      </c>
      <c r="E152" s="2" t="s">
        <v>54</v>
      </c>
      <c r="F152" s="2" t="str">
        <f>VLOOKUP(E152,D.ファイターリスト!$B$5:$C$86,2,FALSE)</f>
        <v>リドリー</v>
      </c>
      <c r="G152" s="2">
        <v>0</v>
      </c>
      <c r="H152" s="2">
        <v>2</v>
      </c>
      <c r="I152" s="2"/>
    </row>
    <row r="153" spans="1:9" x14ac:dyDescent="0.45">
      <c r="A153" s="2">
        <v>12</v>
      </c>
      <c r="B153" s="2" t="s">
        <v>121</v>
      </c>
      <c r="C153" s="2" t="str">
        <f>VLOOKUP(B153,D.ファイターリスト!$B$5:$C$86,2,FALSE)</f>
        <v>CF</v>
      </c>
      <c r="D153" s="2">
        <v>70</v>
      </c>
      <c r="E153" s="2" t="s">
        <v>151</v>
      </c>
      <c r="F153" s="2" t="str">
        <f>VLOOKUP(E153,D.ファイターリスト!$B$5:$C$86,2,FALSE)</f>
        <v>シモリヒ</v>
      </c>
      <c r="G153" s="2">
        <v>0</v>
      </c>
      <c r="H153" s="2">
        <v>0</v>
      </c>
      <c r="I153" s="2"/>
    </row>
    <row r="154" spans="1:9" x14ac:dyDescent="0.45">
      <c r="A154" s="2">
        <v>12</v>
      </c>
      <c r="B154" s="2" t="s">
        <v>121</v>
      </c>
      <c r="C154" s="2" t="str">
        <f>VLOOKUP(B154,D.ファイターリスト!$B$5:$C$86,2,FALSE)</f>
        <v>CF</v>
      </c>
      <c r="D154" s="2">
        <v>72</v>
      </c>
      <c r="E154" s="2" t="s">
        <v>55</v>
      </c>
      <c r="F154" s="2" t="str">
        <f>VLOOKUP(E154,D.ファイターリスト!$B$5:$C$86,2,FALSE)</f>
        <v>キンクル</v>
      </c>
      <c r="G154" s="2">
        <v>2</v>
      </c>
      <c r="H154" s="2">
        <v>3</v>
      </c>
      <c r="I154" s="2"/>
    </row>
    <row r="155" spans="1:9" x14ac:dyDescent="0.45">
      <c r="A155" s="2">
        <v>12</v>
      </c>
      <c r="B155" s="2" t="s">
        <v>121</v>
      </c>
      <c r="C155" s="2" t="str">
        <f>VLOOKUP(B155,D.ファイターリスト!$B$5:$C$86,2,FALSE)</f>
        <v>CF</v>
      </c>
      <c r="D155" s="2">
        <v>73</v>
      </c>
      <c r="E155" s="2" t="s">
        <v>56</v>
      </c>
      <c r="F155" s="2" t="str">
        <f>VLOOKUP(E155,D.ファイターリスト!$B$5:$C$86,2,FALSE)</f>
        <v>しずえ</v>
      </c>
      <c r="G155" s="2">
        <v>0</v>
      </c>
      <c r="H155" s="2">
        <v>0</v>
      </c>
      <c r="I155" s="2"/>
    </row>
    <row r="156" spans="1:9" x14ac:dyDescent="0.45">
      <c r="A156" s="2">
        <v>12</v>
      </c>
      <c r="B156" s="2" t="s">
        <v>121</v>
      </c>
      <c r="C156" s="2" t="str">
        <f>VLOOKUP(B156,D.ファイターリスト!$B$5:$C$86,2,FALSE)</f>
        <v>CF</v>
      </c>
      <c r="D156" s="2">
        <v>74</v>
      </c>
      <c r="E156" s="2" t="s">
        <v>57</v>
      </c>
      <c r="F156" s="2" t="str">
        <f>VLOOKUP(E156,D.ファイターリスト!$B$5:$C$86,2,FALSE)</f>
        <v>ガエン</v>
      </c>
      <c r="G156" s="2">
        <v>0</v>
      </c>
      <c r="H156" s="2">
        <v>0</v>
      </c>
      <c r="I156" s="2" t="s">
        <v>242</v>
      </c>
    </row>
    <row r="157" spans="1:9" x14ac:dyDescent="0.45">
      <c r="A157" s="2">
        <v>12</v>
      </c>
      <c r="B157" s="2" t="s">
        <v>121</v>
      </c>
      <c r="C157" s="2" t="str">
        <f>VLOOKUP(B157,D.ファイターリスト!$B$5:$C$86,2,FALSE)</f>
        <v>CF</v>
      </c>
      <c r="D157" s="2">
        <v>75</v>
      </c>
      <c r="E157" s="2" t="s">
        <v>58</v>
      </c>
      <c r="F157" s="2" t="str">
        <f>VLOOKUP(E157,D.ファイターリスト!$B$5:$C$86,2,FALSE)</f>
        <v>草</v>
      </c>
      <c r="G157" s="2">
        <v>0</v>
      </c>
      <c r="H157" s="2">
        <v>0</v>
      </c>
      <c r="I157" s="2"/>
    </row>
    <row r="158" spans="1:9" x14ac:dyDescent="0.45">
      <c r="A158" s="2">
        <v>12</v>
      </c>
      <c r="B158" s="2" t="s">
        <v>121</v>
      </c>
      <c r="C158" s="2" t="str">
        <f>VLOOKUP(B158,D.ファイターリスト!$B$5:$C$86,2,FALSE)</f>
        <v>CF</v>
      </c>
      <c r="D158" s="2">
        <v>76</v>
      </c>
      <c r="E158" s="2" t="s">
        <v>59</v>
      </c>
      <c r="F158" s="2" t="str">
        <f>VLOOKUP(E158,D.ファイターリスト!$B$5:$C$86,2,FALSE)</f>
        <v>J</v>
      </c>
      <c r="G158" s="2">
        <v>3</v>
      </c>
      <c r="H158" s="2">
        <v>0</v>
      </c>
      <c r="I158" s="2" t="s">
        <v>243</v>
      </c>
    </row>
    <row r="159" spans="1:9" x14ac:dyDescent="0.45">
      <c r="A159" s="2">
        <v>12</v>
      </c>
      <c r="B159" s="2" t="s">
        <v>121</v>
      </c>
      <c r="C159" s="2" t="str">
        <f>VLOOKUP(B159,D.ファイターリスト!$B$5:$C$86,2,FALSE)</f>
        <v>CF</v>
      </c>
      <c r="D159" s="2">
        <v>77</v>
      </c>
      <c r="E159" s="2" t="s">
        <v>60</v>
      </c>
      <c r="F159" s="2" t="str">
        <f>VLOOKUP(E159,D.ファイターリスト!$B$5:$C$86,2,FALSE)</f>
        <v>勇者</v>
      </c>
      <c r="G159" s="2">
        <v>0</v>
      </c>
      <c r="H159" s="2">
        <v>0</v>
      </c>
      <c r="I159" s="2"/>
    </row>
    <row r="160" spans="1:9" x14ac:dyDescent="0.45">
      <c r="A160" s="2">
        <v>12</v>
      </c>
      <c r="B160" s="2" t="s">
        <v>121</v>
      </c>
      <c r="C160" s="2" t="str">
        <f>VLOOKUP(B160,D.ファイターリスト!$B$5:$C$86,2,FALSE)</f>
        <v>CF</v>
      </c>
      <c r="D160" s="2">
        <v>78</v>
      </c>
      <c r="E160" s="2" t="s">
        <v>61</v>
      </c>
      <c r="F160" s="2" t="str">
        <f>VLOOKUP(E160,D.ファイターリスト!$B$5:$C$86,2,FALSE)</f>
        <v>バンカズ</v>
      </c>
      <c r="G160" s="2">
        <v>0</v>
      </c>
      <c r="H160" s="2">
        <v>0</v>
      </c>
      <c r="I160" s="2"/>
    </row>
    <row r="161" spans="1:9" x14ac:dyDescent="0.45">
      <c r="A161" s="2">
        <v>12</v>
      </c>
      <c r="B161" s="2" t="s">
        <v>121</v>
      </c>
      <c r="C161" s="2" t="str">
        <f>VLOOKUP(B161,D.ファイターリスト!$B$5:$C$86,2,FALSE)</f>
        <v>CF</v>
      </c>
      <c r="D161" s="2">
        <v>79</v>
      </c>
      <c r="E161" s="2" t="s">
        <v>62</v>
      </c>
      <c r="F161" s="2" t="str">
        <f>VLOOKUP(E161,D.ファイターリスト!$B$5:$C$86,2,FALSE)</f>
        <v>テリー</v>
      </c>
      <c r="G161" s="2">
        <v>0</v>
      </c>
      <c r="H161" s="2">
        <v>1</v>
      </c>
      <c r="I161" s="2"/>
    </row>
    <row r="162" spans="1:9" x14ac:dyDescent="0.45">
      <c r="A162" s="2">
        <v>12</v>
      </c>
      <c r="B162" s="2" t="s">
        <v>121</v>
      </c>
      <c r="C162" s="2" t="str">
        <f>VLOOKUP(B162,D.ファイターリスト!$B$5:$C$86,2,FALSE)</f>
        <v>CF</v>
      </c>
      <c r="D162" s="2">
        <v>80</v>
      </c>
      <c r="E162" s="2" t="s">
        <v>63</v>
      </c>
      <c r="F162" s="2" t="str">
        <f>VLOOKUP(E162,D.ファイターリスト!$B$5:$C$86,2,FALSE)</f>
        <v>ベレトス</v>
      </c>
      <c r="G162" s="2">
        <v>0</v>
      </c>
      <c r="H162" s="2">
        <v>0</v>
      </c>
      <c r="I162" s="2"/>
    </row>
    <row r="163" spans="1:9" x14ac:dyDescent="0.45">
      <c r="A163" s="2">
        <v>12</v>
      </c>
      <c r="B163" s="2" t="s">
        <v>121</v>
      </c>
      <c r="C163" s="2" t="str">
        <f>VLOOKUP(B163,D.ファイターリスト!$B$5:$C$86,2,FALSE)</f>
        <v>CF</v>
      </c>
      <c r="D163" s="2">
        <v>81</v>
      </c>
      <c r="E163" s="2" t="s">
        <v>64</v>
      </c>
      <c r="F163" s="2" t="str">
        <f>VLOOKUP(E163,D.ファイターリスト!$B$5:$C$86,2,FALSE)</f>
        <v>メン</v>
      </c>
      <c r="G163" s="2">
        <v>0</v>
      </c>
      <c r="H163" s="2">
        <v>0</v>
      </c>
      <c r="I163" s="2"/>
    </row>
    <row r="164" spans="1:9" x14ac:dyDescent="0.45">
      <c r="A164" s="2">
        <v>12</v>
      </c>
      <c r="B164" s="2" t="s">
        <v>121</v>
      </c>
      <c r="C164" s="2" t="str">
        <f>VLOOKUP(B164,D.ファイターリスト!$B$5:$C$86,2,FALSE)</f>
        <v>CF</v>
      </c>
      <c r="D164" s="2">
        <v>82</v>
      </c>
      <c r="E164" s="2" t="s">
        <v>65</v>
      </c>
      <c r="F164" s="2" t="str">
        <f>VLOOKUP(E164,D.ファイターリスト!$B$5:$C$86,2,FALSE)</f>
        <v>スティーブ</v>
      </c>
      <c r="G164" s="2">
        <v>1</v>
      </c>
      <c r="H164" s="2">
        <v>1</v>
      </c>
      <c r="I164" s="2"/>
    </row>
    <row r="165" spans="1:9" x14ac:dyDescent="0.45">
      <c r="A165" s="2">
        <v>12</v>
      </c>
      <c r="B165" s="2" t="s">
        <v>121</v>
      </c>
      <c r="C165" s="2" t="str">
        <f>VLOOKUP(B165,D.ファイターリスト!$B$5:$C$86,2,FALSE)</f>
        <v>CF</v>
      </c>
      <c r="D165" s="2">
        <v>83</v>
      </c>
      <c r="E165" s="2" t="s">
        <v>66</v>
      </c>
      <c r="F165" s="2" t="str">
        <f>VLOOKUP(E165,D.ファイターリスト!$B$5:$C$86,2,FALSE)</f>
        <v>セフィロス</v>
      </c>
      <c r="G165" s="2">
        <v>0</v>
      </c>
      <c r="H165" s="2">
        <v>1</v>
      </c>
      <c r="I165" s="2"/>
    </row>
    <row r="166" spans="1:9" x14ac:dyDescent="0.45">
      <c r="A166" s="2">
        <v>12</v>
      </c>
      <c r="B166" s="2" t="s">
        <v>121</v>
      </c>
      <c r="C166" s="2" t="str">
        <f>VLOOKUP(B166,D.ファイターリスト!$B$5:$C$86,2,FALSE)</f>
        <v>CF</v>
      </c>
      <c r="D166" s="2">
        <v>84</v>
      </c>
      <c r="E166" s="2" t="s">
        <v>67</v>
      </c>
      <c r="F166" s="2" t="str">
        <f>VLOOKUP(E166,D.ファイターリスト!$B$5:$C$86,2,FALSE)</f>
        <v>ホムヒカ</v>
      </c>
      <c r="G166" s="2">
        <v>1</v>
      </c>
      <c r="H166" s="2">
        <v>0</v>
      </c>
      <c r="I166" s="2"/>
    </row>
    <row r="167" spans="1:9" x14ac:dyDescent="0.45">
      <c r="A167" s="2">
        <v>12</v>
      </c>
      <c r="B167" s="2" t="s">
        <v>121</v>
      </c>
      <c r="C167" s="2" t="str">
        <f>VLOOKUP(B167,D.ファイターリスト!$B$5:$C$86,2,FALSE)</f>
        <v>CF</v>
      </c>
      <c r="D167" s="2">
        <v>85</v>
      </c>
      <c r="E167" s="2" t="s">
        <v>68</v>
      </c>
      <c r="F167" s="2" t="str">
        <f>VLOOKUP(E167,D.ファイターリスト!$B$5:$C$86,2,FALSE)</f>
        <v>カズヤ</v>
      </c>
      <c r="G167" s="2">
        <v>1</v>
      </c>
      <c r="H167" s="2">
        <v>0</v>
      </c>
      <c r="I167" s="2"/>
    </row>
    <row r="168" spans="1:9" x14ac:dyDescent="0.45">
      <c r="A168" s="2">
        <v>12</v>
      </c>
      <c r="B168" s="2" t="s">
        <v>121</v>
      </c>
      <c r="C168" s="2" t="str">
        <f>VLOOKUP(B168,D.ファイターリスト!$B$5:$C$86,2,FALSE)</f>
        <v>CF</v>
      </c>
      <c r="D168" s="2">
        <v>86</v>
      </c>
      <c r="E168" s="2" t="s">
        <v>69</v>
      </c>
      <c r="F168" s="2" t="str">
        <f>VLOOKUP(E168,D.ファイターリスト!$B$5:$C$86,2,FALSE)</f>
        <v>ソラ</v>
      </c>
      <c r="G168" s="2">
        <v>1</v>
      </c>
      <c r="H168" s="2">
        <v>0</v>
      </c>
      <c r="I168" s="2"/>
    </row>
    <row r="169" spans="1:9" ht="19.2" x14ac:dyDescent="0.45">
      <c r="A169" s="2">
        <v>26</v>
      </c>
      <c r="B169" s="2" t="s">
        <v>15</v>
      </c>
      <c r="C169" s="2" t="str">
        <f>VLOOKUP(B169,D.ファイターリスト!$B$5:$C$86,2,FALSE)</f>
        <v>ガノン</v>
      </c>
      <c r="D169" s="2">
        <v>1</v>
      </c>
      <c r="E169" s="2" t="s">
        <v>70</v>
      </c>
      <c r="F169" s="2" t="str">
        <f>VLOOKUP(E169,D.ファイターリスト!$B$5:$C$86,2,FALSE)</f>
        <v>マリオ</v>
      </c>
      <c r="G169" s="2">
        <v>4</v>
      </c>
      <c r="H169" s="2">
        <v>0</v>
      </c>
      <c r="I169" s="33" t="s">
        <v>244</v>
      </c>
    </row>
    <row r="170" spans="1:9" ht="19.2" x14ac:dyDescent="0.45">
      <c r="A170" s="2">
        <v>26</v>
      </c>
      <c r="B170" s="2" t="s">
        <v>15</v>
      </c>
      <c r="C170" s="2" t="str">
        <f>VLOOKUP(B170,D.ファイターリスト!$B$5:$C$86,2,FALSE)</f>
        <v>ガノン</v>
      </c>
      <c r="D170" s="2">
        <v>2</v>
      </c>
      <c r="E170" s="2" t="s">
        <v>71</v>
      </c>
      <c r="F170" s="2" t="str">
        <f>VLOOKUP(E170,D.ファイターリスト!$B$5:$C$86,2,FALSE)</f>
        <v>DK</v>
      </c>
      <c r="G170" s="2">
        <v>0</v>
      </c>
      <c r="H170" s="2">
        <v>3</v>
      </c>
      <c r="I170" s="33" t="s">
        <v>245</v>
      </c>
    </row>
    <row r="171" spans="1:9" x14ac:dyDescent="0.45">
      <c r="A171" s="2">
        <v>26</v>
      </c>
      <c r="B171" s="2" t="s">
        <v>15</v>
      </c>
      <c r="C171" s="2" t="str">
        <f>VLOOKUP(B171,D.ファイターリスト!$B$5:$C$86,2,FALSE)</f>
        <v>ガノン</v>
      </c>
      <c r="D171" s="2">
        <v>3</v>
      </c>
      <c r="E171" s="2" t="s">
        <v>72</v>
      </c>
      <c r="F171" s="2" t="str">
        <f>VLOOKUP(E171,D.ファイターリスト!$B$5:$C$86,2,FALSE)</f>
        <v>リンク</v>
      </c>
      <c r="G171" s="2">
        <v>1</v>
      </c>
      <c r="H171" s="2">
        <v>0</v>
      </c>
      <c r="I171" s="33"/>
    </row>
    <row r="172" spans="1:9" x14ac:dyDescent="0.45">
      <c r="A172" s="2">
        <v>26</v>
      </c>
      <c r="B172" s="2" t="s">
        <v>15</v>
      </c>
      <c r="C172" s="2" t="str">
        <f>VLOOKUP(B172,D.ファイターリスト!$B$5:$C$86,2,FALSE)</f>
        <v>ガノン</v>
      </c>
      <c r="D172" s="2">
        <v>4</v>
      </c>
      <c r="E172" s="2" t="s">
        <v>114</v>
      </c>
      <c r="F172" s="2" t="str">
        <f>VLOOKUP(E172,D.ファイターリスト!$B$5:$C$86,2,FALSE)</f>
        <v>ダムス</v>
      </c>
      <c r="G172" s="2">
        <v>1</v>
      </c>
      <c r="H172" s="2">
        <v>0</v>
      </c>
      <c r="I172" s="33"/>
    </row>
    <row r="173" spans="1:9" x14ac:dyDescent="0.45">
      <c r="A173" s="2">
        <v>26</v>
      </c>
      <c r="B173" s="2" t="s">
        <v>15</v>
      </c>
      <c r="C173" s="2" t="str">
        <f>VLOOKUP(B173,D.ファイターリスト!$B$5:$C$86,2,FALSE)</f>
        <v>ガノン</v>
      </c>
      <c r="D173" s="2">
        <v>6</v>
      </c>
      <c r="E173" s="2" t="s">
        <v>116</v>
      </c>
      <c r="F173" s="2" t="str">
        <f>VLOOKUP(E173,D.ファイターリスト!$B$5:$C$86,2,FALSE)</f>
        <v>ヨッシー</v>
      </c>
      <c r="G173" s="2">
        <v>2</v>
      </c>
      <c r="H173" s="2">
        <v>0</v>
      </c>
      <c r="I173" s="33"/>
    </row>
    <row r="174" spans="1:9" ht="19.2" x14ac:dyDescent="0.45">
      <c r="A174" s="2">
        <v>26</v>
      </c>
      <c r="B174" s="2" t="s">
        <v>15</v>
      </c>
      <c r="C174" s="2" t="str">
        <f>VLOOKUP(B174,D.ファイターリスト!$B$5:$C$86,2,FALSE)</f>
        <v>ガノン</v>
      </c>
      <c r="D174" s="2">
        <v>7</v>
      </c>
      <c r="E174" s="2" t="s">
        <v>73</v>
      </c>
      <c r="F174" s="2" t="str">
        <f>VLOOKUP(E174,D.ファイターリスト!$B$5:$C$86,2,FALSE)</f>
        <v>CB</v>
      </c>
      <c r="G174" s="2">
        <v>2</v>
      </c>
      <c r="H174" s="2">
        <v>2</v>
      </c>
      <c r="I174" s="33" t="s">
        <v>246</v>
      </c>
    </row>
    <row r="175" spans="1:9" x14ac:dyDescent="0.45">
      <c r="A175" s="2">
        <v>26</v>
      </c>
      <c r="B175" s="2" t="s">
        <v>15</v>
      </c>
      <c r="C175" s="2" t="str">
        <f>VLOOKUP(B175,D.ファイターリスト!$B$5:$C$86,2,FALSE)</f>
        <v>ガノン</v>
      </c>
      <c r="D175" s="2">
        <v>8</v>
      </c>
      <c r="E175" s="2" t="s">
        <v>74</v>
      </c>
      <c r="F175" s="2" t="str">
        <f>VLOOKUP(E175,D.ファイターリスト!$B$5:$C$86,2,FALSE)</f>
        <v>FX</v>
      </c>
      <c r="G175" s="2">
        <v>0</v>
      </c>
      <c r="H175" s="2">
        <v>1</v>
      </c>
      <c r="I175" s="33"/>
    </row>
    <row r="176" spans="1:9" x14ac:dyDescent="0.45">
      <c r="A176" s="2">
        <v>26</v>
      </c>
      <c r="B176" s="2" t="s">
        <v>15</v>
      </c>
      <c r="C176" s="2" t="str">
        <f>VLOOKUP(B176,D.ファイターリスト!$B$5:$C$86,2,FALSE)</f>
        <v>ガノン</v>
      </c>
      <c r="D176" s="2">
        <v>9</v>
      </c>
      <c r="E176" s="2" t="s">
        <v>75</v>
      </c>
      <c r="F176" s="2" t="str">
        <f>VLOOKUP(E176,D.ファイターリスト!$B$5:$C$86,2,FALSE)</f>
        <v>ピカ</v>
      </c>
      <c r="G176" s="2">
        <v>2</v>
      </c>
      <c r="H176" s="2">
        <v>2</v>
      </c>
      <c r="I176" s="33"/>
    </row>
    <row r="177" spans="1:9" x14ac:dyDescent="0.45">
      <c r="A177" s="2">
        <v>26</v>
      </c>
      <c r="B177" s="2" t="s">
        <v>15</v>
      </c>
      <c r="C177" s="2" t="str">
        <f>VLOOKUP(B177,D.ファイターリスト!$B$5:$C$86,2,FALSE)</f>
        <v>ガノン</v>
      </c>
      <c r="D177" s="2">
        <v>10</v>
      </c>
      <c r="E177" s="2" t="s">
        <v>2</v>
      </c>
      <c r="F177" s="2" t="str">
        <f>VLOOKUP(E177,D.ファイターリスト!$B$5:$C$86,2,FALSE)</f>
        <v>L</v>
      </c>
      <c r="G177" s="2">
        <v>0</v>
      </c>
      <c r="H177" s="2">
        <v>0</v>
      </c>
      <c r="I177" s="33"/>
    </row>
    <row r="178" spans="1:9" x14ac:dyDescent="0.45">
      <c r="A178" s="2">
        <v>26</v>
      </c>
      <c r="B178" s="2" t="s">
        <v>15</v>
      </c>
      <c r="C178" s="2" t="str">
        <f>VLOOKUP(B178,D.ファイターリスト!$B$5:$C$86,2,FALSE)</f>
        <v>ガノン</v>
      </c>
      <c r="D178" s="2">
        <v>11</v>
      </c>
      <c r="E178" s="2" t="s">
        <v>3</v>
      </c>
      <c r="F178" s="2" t="str">
        <f>VLOOKUP(E178,D.ファイターリスト!$B$5:$C$86,2,FALSE)</f>
        <v>ネス</v>
      </c>
      <c r="G178" s="2">
        <v>0</v>
      </c>
      <c r="H178" s="2">
        <v>2</v>
      </c>
      <c r="I178" s="33"/>
    </row>
    <row r="179" spans="1:9" x14ac:dyDescent="0.45">
      <c r="A179" s="2">
        <v>26</v>
      </c>
      <c r="B179" s="2" t="s">
        <v>15</v>
      </c>
      <c r="C179" s="2" t="str">
        <f>VLOOKUP(B179,D.ファイターリスト!$B$5:$C$86,2,FALSE)</f>
        <v>ガノン</v>
      </c>
      <c r="D179" s="2">
        <v>12</v>
      </c>
      <c r="E179" s="2" t="s">
        <v>121</v>
      </c>
      <c r="F179" s="2" t="str">
        <f>VLOOKUP(E179,D.ファイターリスト!$B$5:$C$86,2,FALSE)</f>
        <v>CF</v>
      </c>
      <c r="G179" s="2">
        <v>1</v>
      </c>
      <c r="H179" s="2">
        <v>0</v>
      </c>
      <c r="I179" s="33"/>
    </row>
    <row r="180" spans="1:9" ht="19.2" x14ac:dyDescent="0.45">
      <c r="A180" s="2">
        <v>26</v>
      </c>
      <c r="B180" s="2" t="s">
        <v>15</v>
      </c>
      <c r="C180" s="2" t="str">
        <f>VLOOKUP(B180,D.ファイターリスト!$B$5:$C$86,2,FALSE)</f>
        <v>ガノン</v>
      </c>
      <c r="D180" s="2">
        <v>13</v>
      </c>
      <c r="E180" s="2" t="s">
        <v>4</v>
      </c>
      <c r="F180" s="2" t="str">
        <f>VLOOKUP(E180,D.ファイターリスト!$B$5:$C$86,2,FALSE)</f>
        <v>プリン</v>
      </c>
      <c r="G180" s="2">
        <v>5</v>
      </c>
      <c r="H180" s="2">
        <v>3</v>
      </c>
      <c r="I180" s="33" t="s">
        <v>247</v>
      </c>
    </row>
    <row r="181" spans="1:9" x14ac:dyDescent="0.45">
      <c r="A181" s="2">
        <v>26</v>
      </c>
      <c r="B181" s="2" t="s">
        <v>15</v>
      </c>
      <c r="C181" s="2" t="str">
        <f>VLOOKUP(B181,D.ファイターリスト!$B$5:$C$86,2,FALSE)</f>
        <v>ガノン</v>
      </c>
      <c r="D181" s="2">
        <v>14</v>
      </c>
      <c r="E181" s="2" t="s">
        <v>123</v>
      </c>
      <c r="F181" s="2" t="str">
        <f>VLOOKUP(E181,D.ファイターリスト!$B$5:$C$86,2,FALSE)</f>
        <v>ピチデ</v>
      </c>
      <c r="G181" s="2">
        <v>0</v>
      </c>
      <c r="H181" s="2">
        <v>0</v>
      </c>
      <c r="I181" s="33"/>
    </row>
    <row r="182" spans="1:9" x14ac:dyDescent="0.45">
      <c r="A182" s="2">
        <v>26</v>
      </c>
      <c r="B182" s="2" t="s">
        <v>15</v>
      </c>
      <c r="C182" s="2" t="str">
        <f>VLOOKUP(B182,D.ファイターリスト!$B$5:$C$86,2,FALSE)</f>
        <v>ガノン</v>
      </c>
      <c r="D182" s="2">
        <v>16</v>
      </c>
      <c r="E182" s="2" t="s">
        <v>5</v>
      </c>
      <c r="F182" s="2" t="str">
        <f>VLOOKUP(E182,D.ファイターリスト!$B$5:$C$86,2,FALSE)</f>
        <v>カメ</v>
      </c>
      <c r="G182" s="2">
        <v>1</v>
      </c>
      <c r="H182" s="2">
        <v>3</v>
      </c>
      <c r="I182" s="34"/>
    </row>
    <row r="183" spans="1:9" ht="19.2" x14ac:dyDescent="0.45">
      <c r="A183" s="2">
        <v>26</v>
      </c>
      <c r="B183" s="2" t="s">
        <v>15</v>
      </c>
      <c r="C183" s="2" t="str">
        <f>VLOOKUP(B183,D.ファイターリスト!$B$5:$C$86,2,FALSE)</f>
        <v>ガノン</v>
      </c>
      <c r="D183" s="2">
        <v>17</v>
      </c>
      <c r="E183" s="2" t="s">
        <v>6</v>
      </c>
      <c r="F183" s="2" t="str">
        <f>VLOOKUP(E183,D.ファイターリスト!$B$5:$C$86,2,FALSE)</f>
        <v>アイクラ</v>
      </c>
      <c r="G183" s="2">
        <v>0</v>
      </c>
      <c r="H183" s="2">
        <v>2</v>
      </c>
      <c r="I183" s="33" t="s">
        <v>324</v>
      </c>
    </row>
    <row r="184" spans="1:9" x14ac:dyDescent="0.45">
      <c r="A184" s="2">
        <v>26</v>
      </c>
      <c r="B184" s="2" t="s">
        <v>15</v>
      </c>
      <c r="C184" s="2" t="str">
        <f>VLOOKUP(B184,D.ファイターリスト!$B$5:$C$86,2,FALSE)</f>
        <v>ガノン</v>
      </c>
      <c r="D184" s="2">
        <v>18</v>
      </c>
      <c r="E184" s="2" t="s">
        <v>7</v>
      </c>
      <c r="F184" s="2" t="str">
        <f>VLOOKUP(E184,D.ファイターリスト!$B$5:$C$86,2,FALSE)</f>
        <v>シーク</v>
      </c>
      <c r="G184" s="2">
        <v>0</v>
      </c>
      <c r="H184" s="2">
        <v>0</v>
      </c>
      <c r="I184" s="34"/>
    </row>
    <row r="185" spans="1:9" x14ac:dyDescent="0.45">
      <c r="A185" s="2">
        <v>26</v>
      </c>
      <c r="B185" s="2" t="s">
        <v>15</v>
      </c>
      <c r="C185" s="2" t="str">
        <f>VLOOKUP(B185,D.ファイターリスト!$B$5:$C$86,2,FALSE)</f>
        <v>ガノン</v>
      </c>
      <c r="D185" s="2">
        <v>19</v>
      </c>
      <c r="E185" s="2" t="s">
        <v>8</v>
      </c>
      <c r="F185" s="2" t="str">
        <f>VLOOKUP(E185,D.ファイターリスト!$B$5:$C$86,2,FALSE)</f>
        <v>ゼルダ</v>
      </c>
      <c r="G185" s="2">
        <v>0</v>
      </c>
      <c r="H185" s="2">
        <v>1</v>
      </c>
      <c r="I185" s="33"/>
    </row>
    <row r="186" spans="1:9" x14ac:dyDescent="0.45">
      <c r="A186" s="2">
        <v>26</v>
      </c>
      <c r="B186" s="2" t="s">
        <v>15</v>
      </c>
      <c r="C186" s="2" t="str">
        <f>VLOOKUP(B186,D.ファイターリスト!$B$5:$C$86,2,FALSE)</f>
        <v>ガノン</v>
      </c>
      <c r="D186" s="2">
        <v>20</v>
      </c>
      <c r="E186" s="2" t="s">
        <v>9</v>
      </c>
      <c r="F186" s="2" t="str">
        <f>VLOOKUP(E186,D.ファイターリスト!$B$5:$C$86,2,FALSE)</f>
        <v>ドクマリ</v>
      </c>
      <c r="G186" s="2">
        <v>0</v>
      </c>
      <c r="H186" s="2">
        <v>0</v>
      </c>
      <c r="I186" s="34"/>
    </row>
    <row r="187" spans="1:9" x14ac:dyDescent="0.45">
      <c r="A187" s="2">
        <v>26</v>
      </c>
      <c r="B187" s="2" t="s">
        <v>15</v>
      </c>
      <c r="C187" s="2" t="str">
        <f>VLOOKUP(B187,D.ファイターリスト!$B$5:$C$86,2,FALSE)</f>
        <v>ガノン</v>
      </c>
      <c r="D187" s="2">
        <v>21</v>
      </c>
      <c r="E187" s="2" t="s">
        <v>10</v>
      </c>
      <c r="F187" s="2" t="str">
        <f>VLOOKUP(E187,D.ファイターリスト!$B$5:$C$86,2,FALSE)</f>
        <v>ピチュー</v>
      </c>
      <c r="G187" s="2">
        <v>1</v>
      </c>
      <c r="H187" s="2">
        <v>1</v>
      </c>
      <c r="I187" s="33"/>
    </row>
    <row r="188" spans="1:9" x14ac:dyDescent="0.45">
      <c r="A188" s="2">
        <v>26</v>
      </c>
      <c r="B188" s="2" t="s">
        <v>15</v>
      </c>
      <c r="C188" s="2" t="str">
        <f>VLOOKUP(B188,D.ファイターリスト!$B$5:$C$86,2,FALSE)</f>
        <v>ガノン</v>
      </c>
      <c r="D188" s="2">
        <v>22</v>
      </c>
      <c r="E188" s="2" t="s">
        <v>11</v>
      </c>
      <c r="F188" s="2" t="str">
        <f>VLOOKUP(E188,D.ファイターリスト!$B$5:$C$86,2,FALSE)</f>
        <v>ファルコ</v>
      </c>
      <c r="G188" s="2">
        <v>1</v>
      </c>
      <c r="H188" s="2">
        <v>0</v>
      </c>
      <c r="I188" s="33"/>
    </row>
    <row r="189" spans="1:9" ht="19.2" x14ac:dyDescent="0.45">
      <c r="A189" s="2">
        <v>26</v>
      </c>
      <c r="B189" s="2" t="s">
        <v>15</v>
      </c>
      <c r="C189" s="2" t="str">
        <f>VLOOKUP(B189,D.ファイターリスト!$B$5:$C$86,2,FALSE)</f>
        <v>ガノン</v>
      </c>
      <c r="D189" s="2">
        <v>23</v>
      </c>
      <c r="E189" s="2" t="s">
        <v>12</v>
      </c>
      <c r="F189" s="2" t="str">
        <f>VLOOKUP(E189,D.ファイターリスト!$B$5:$C$86,2,FALSE)</f>
        <v>マルス</v>
      </c>
      <c r="G189" s="2">
        <v>2</v>
      </c>
      <c r="H189" s="2">
        <v>2</v>
      </c>
      <c r="I189" s="33" t="s">
        <v>347</v>
      </c>
    </row>
    <row r="190" spans="1:9" x14ac:dyDescent="0.45">
      <c r="A190" s="2">
        <v>26</v>
      </c>
      <c r="B190" s="2" t="s">
        <v>15</v>
      </c>
      <c r="C190" s="2" t="str">
        <f>VLOOKUP(B190,D.ファイターリスト!$B$5:$C$86,2,FALSE)</f>
        <v>ガノン</v>
      </c>
      <c r="D190" s="2">
        <v>24</v>
      </c>
      <c r="E190" s="2" t="s">
        <v>13</v>
      </c>
      <c r="F190" s="2" t="str">
        <f>VLOOKUP(E190,D.ファイターリスト!$B$5:$C$86,2,FALSE)</f>
        <v>ルキナ</v>
      </c>
      <c r="G190" s="2">
        <v>0</v>
      </c>
      <c r="H190" s="2">
        <v>0</v>
      </c>
      <c r="I190" s="33"/>
    </row>
    <row r="191" spans="1:9" ht="38.4" x14ac:dyDescent="0.45">
      <c r="A191" s="2">
        <v>26</v>
      </c>
      <c r="B191" s="2" t="s">
        <v>15</v>
      </c>
      <c r="C191" s="2" t="str">
        <f>VLOOKUP(B191,D.ファイターリスト!$B$5:$C$86,2,FALSE)</f>
        <v>ガノン</v>
      </c>
      <c r="D191" s="2">
        <v>25</v>
      </c>
      <c r="E191" s="2" t="s">
        <v>14</v>
      </c>
      <c r="F191" s="2" t="str">
        <f>VLOOKUP(E191,D.ファイターリスト!$B$5:$C$86,2,FALSE)</f>
        <v>ヤンリン</v>
      </c>
      <c r="G191" s="2">
        <v>0</v>
      </c>
      <c r="H191" s="2">
        <v>1</v>
      </c>
      <c r="I191" s="33" t="s">
        <v>248</v>
      </c>
    </row>
    <row r="192" spans="1:9" x14ac:dyDescent="0.45">
      <c r="A192" s="2">
        <v>26</v>
      </c>
      <c r="B192" s="2" t="s">
        <v>15</v>
      </c>
      <c r="C192" s="2" t="str">
        <f>VLOOKUP(B192,D.ファイターリスト!$B$5:$C$86,2,FALSE)</f>
        <v>ガノン</v>
      </c>
      <c r="D192" s="2">
        <v>26</v>
      </c>
      <c r="E192" s="2" t="s">
        <v>15</v>
      </c>
      <c r="F192" s="2" t="str">
        <f>VLOOKUP(E192,D.ファイターリスト!$B$5:$C$86,2,FALSE)</f>
        <v>ガノン</v>
      </c>
      <c r="G192" s="2">
        <v>9</v>
      </c>
      <c r="H192" s="2">
        <v>5</v>
      </c>
      <c r="I192" s="33"/>
    </row>
    <row r="193" spans="1:9" x14ac:dyDescent="0.45">
      <c r="A193" s="2">
        <v>26</v>
      </c>
      <c r="B193" s="2" t="s">
        <v>15</v>
      </c>
      <c r="C193" s="2" t="str">
        <f>VLOOKUP(B193,D.ファイターリスト!$B$5:$C$86,2,FALSE)</f>
        <v>ガノン</v>
      </c>
      <c r="D193" s="2">
        <v>27</v>
      </c>
      <c r="E193" s="2" t="s">
        <v>130</v>
      </c>
      <c r="F193" s="2" t="str">
        <f>VLOOKUP(E193,D.ファイターリスト!$B$5:$C$86,2,FALSE)</f>
        <v>M2</v>
      </c>
      <c r="G193" s="2">
        <v>0</v>
      </c>
      <c r="H193" s="2">
        <v>3</v>
      </c>
      <c r="I193" s="33"/>
    </row>
    <row r="194" spans="1:9" ht="28.8" x14ac:dyDescent="0.45">
      <c r="A194" s="2">
        <v>26</v>
      </c>
      <c r="B194" s="2" t="s">
        <v>15</v>
      </c>
      <c r="C194" s="2" t="str">
        <f>VLOOKUP(B194,D.ファイターリスト!$B$5:$C$86,2,FALSE)</f>
        <v>ガノン</v>
      </c>
      <c r="D194" s="2">
        <v>28</v>
      </c>
      <c r="E194" s="2" t="s">
        <v>16</v>
      </c>
      <c r="F194" s="2" t="str">
        <f>VLOOKUP(E194,D.ファイターリスト!$B$5:$C$86,2,FALSE)</f>
        <v>ロイ</v>
      </c>
      <c r="G194" s="2">
        <v>2</v>
      </c>
      <c r="H194" s="2">
        <v>2</v>
      </c>
      <c r="I194" s="33" t="s">
        <v>249</v>
      </c>
    </row>
    <row r="195" spans="1:9" x14ac:dyDescent="0.45">
      <c r="A195" s="2">
        <v>26</v>
      </c>
      <c r="B195" s="2" t="s">
        <v>15</v>
      </c>
      <c r="C195" s="2" t="str">
        <f>VLOOKUP(B195,D.ファイターリスト!$B$5:$C$86,2,FALSE)</f>
        <v>ガノン</v>
      </c>
      <c r="D195" s="2">
        <v>29</v>
      </c>
      <c r="E195" s="2" t="s">
        <v>17</v>
      </c>
      <c r="F195" s="2" t="str">
        <f>VLOOKUP(E195,D.ファイターリスト!$B$5:$C$86,2,FALSE)</f>
        <v>クロム</v>
      </c>
      <c r="G195" s="2">
        <v>0</v>
      </c>
      <c r="H195" s="2">
        <v>0</v>
      </c>
      <c r="I195" s="33"/>
    </row>
    <row r="196" spans="1:9" ht="19.2" x14ac:dyDescent="0.45">
      <c r="A196" s="2">
        <v>26</v>
      </c>
      <c r="B196" s="2" t="s">
        <v>15</v>
      </c>
      <c r="C196" s="2" t="str">
        <f>VLOOKUP(B196,D.ファイターリスト!$B$5:$C$86,2,FALSE)</f>
        <v>ガノン</v>
      </c>
      <c r="D196" s="2">
        <v>30</v>
      </c>
      <c r="E196" s="2" t="s">
        <v>132</v>
      </c>
      <c r="F196" s="2" t="str">
        <f>VLOOKUP(E196,D.ファイターリスト!$B$5:$C$86,2,FALSE)</f>
        <v>ゲッチ</v>
      </c>
      <c r="G196" s="2">
        <v>0</v>
      </c>
      <c r="H196" s="2">
        <v>1</v>
      </c>
      <c r="I196" s="33" t="s">
        <v>250</v>
      </c>
    </row>
    <row r="197" spans="1:9" x14ac:dyDescent="0.45">
      <c r="A197" s="2">
        <v>26</v>
      </c>
      <c r="B197" s="2" t="s">
        <v>15</v>
      </c>
      <c r="C197" s="2" t="str">
        <f>VLOOKUP(B197,D.ファイターリスト!$B$5:$C$86,2,FALSE)</f>
        <v>ガノン</v>
      </c>
      <c r="D197" s="2">
        <v>31</v>
      </c>
      <c r="E197" s="2" t="s">
        <v>18</v>
      </c>
      <c r="F197" s="2" t="str">
        <f>VLOOKUP(E197,D.ファイターリスト!$B$5:$C$86,2,FALSE)</f>
        <v>メタ</v>
      </c>
      <c r="G197" s="2">
        <v>0</v>
      </c>
      <c r="H197" s="2">
        <v>1</v>
      </c>
      <c r="I197" s="33"/>
    </row>
    <row r="198" spans="1:9" ht="19.2" x14ac:dyDescent="0.45">
      <c r="A198" s="2">
        <v>26</v>
      </c>
      <c r="B198" s="2" t="s">
        <v>15</v>
      </c>
      <c r="C198" s="2" t="str">
        <f>VLOOKUP(B198,D.ファイターリスト!$B$5:$C$86,2,FALSE)</f>
        <v>ガノン</v>
      </c>
      <c r="D198" s="2">
        <v>32</v>
      </c>
      <c r="E198" s="2" t="s">
        <v>135</v>
      </c>
      <c r="F198" s="2" t="str">
        <f>VLOOKUP(E198,D.ファイターリスト!$B$5:$C$86,2,FALSE)</f>
        <v>ブラピ</v>
      </c>
      <c r="G198" s="2">
        <v>2</v>
      </c>
      <c r="H198" s="2">
        <v>3</v>
      </c>
      <c r="I198" s="33" t="s">
        <v>251</v>
      </c>
    </row>
    <row r="199" spans="1:9" x14ac:dyDescent="0.45">
      <c r="A199" s="2">
        <v>26</v>
      </c>
      <c r="B199" s="2" t="s">
        <v>15</v>
      </c>
      <c r="C199" s="2" t="str">
        <f>VLOOKUP(B199,D.ファイターリスト!$B$5:$C$86,2,FALSE)</f>
        <v>ガノン</v>
      </c>
      <c r="D199" s="2">
        <v>34</v>
      </c>
      <c r="E199" s="2" t="s">
        <v>19</v>
      </c>
      <c r="F199" s="2" t="str">
        <f>VLOOKUP(E199,D.ファイターリスト!$B$5:$C$86,2,FALSE)</f>
        <v>ゼロサム</v>
      </c>
      <c r="G199" s="2">
        <v>1</v>
      </c>
      <c r="H199" s="2">
        <v>0</v>
      </c>
      <c r="I199" s="34"/>
    </row>
    <row r="200" spans="1:9" x14ac:dyDescent="0.45">
      <c r="A200" s="2">
        <v>26</v>
      </c>
      <c r="B200" s="2" t="s">
        <v>15</v>
      </c>
      <c r="C200" s="2" t="str">
        <f>VLOOKUP(B200,D.ファイターリスト!$B$5:$C$86,2,FALSE)</f>
        <v>ガノン</v>
      </c>
      <c r="D200" s="2">
        <v>35</v>
      </c>
      <c r="E200" s="2" t="s">
        <v>20</v>
      </c>
      <c r="F200" s="2" t="str">
        <f>VLOOKUP(E200,D.ファイターリスト!$B$5:$C$86,2,FALSE)</f>
        <v>ワリオ</v>
      </c>
      <c r="G200" s="2">
        <v>0</v>
      </c>
      <c r="H200" s="2">
        <v>0</v>
      </c>
      <c r="I200" s="33"/>
    </row>
    <row r="201" spans="1:9" x14ac:dyDescent="0.45">
      <c r="A201" s="2">
        <v>26</v>
      </c>
      <c r="B201" s="2" t="s">
        <v>15</v>
      </c>
      <c r="C201" s="2" t="str">
        <f>VLOOKUP(B201,D.ファイターリスト!$B$5:$C$86,2,FALSE)</f>
        <v>ガノン</v>
      </c>
      <c r="D201" s="2">
        <v>36</v>
      </c>
      <c r="E201" s="2" t="s">
        <v>21</v>
      </c>
      <c r="F201" s="2" t="str">
        <f>VLOOKUP(E201,D.ファイターリスト!$B$5:$C$86,2,FALSE)</f>
        <v>スネーク</v>
      </c>
      <c r="G201" s="2">
        <v>1</v>
      </c>
      <c r="H201" s="2">
        <v>1</v>
      </c>
      <c r="I201" s="33"/>
    </row>
    <row r="202" spans="1:9" ht="19.2" x14ac:dyDescent="0.45">
      <c r="A202" s="2">
        <v>26</v>
      </c>
      <c r="B202" s="2" t="s">
        <v>15</v>
      </c>
      <c r="C202" s="2" t="str">
        <f>VLOOKUP(B202,D.ファイターリスト!$B$5:$C$86,2,FALSE)</f>
        <v>ガノン</v>
      </c>
      <c r="D202" s="2">
        <v>37</v>
      </c>
      <c r="E202" s="2" t="s">
        <v>22</v>
      </c>
      <c r="F202" s="2" t="str">
        <f>VLOOKUP(E202,D.ファイターリスト!$B$5:$C$86,2,FALSE)</f>
        <v>アイクラ</v>
      </c>
      <c r="G202" s="2">
        <v>0</v>
      </c>
      <c r="H202" s="2">
        <v>4</v>
      </c>
      <c r="I202" s="33" t="s">
        <v>325</v>
      </c>
    </row>
    <row r="203" spans="1:9" x14ac:dyDescent="0.45">
      <c r="A203" s="2">
        <v>26</v>
      </c>
      <c r="B203" s="2" t="s">
        <v>15</v>
      </c>
      <c r="C203" s="2" t="str">
        <f>VLOOKUP(B203,D.ファイターリスト!$B$5:$C$86,2,FALSE)</f>
        <v>ガノン</v>
      </c>
      <c r="D203" s="2">
        <v>38</v>
      </c>
      <c r="E203" s="2" t="s">
        <v>23</v>
      </c>
      <c r="F203" s="2" t="str">
        <f>VLOOKUP(E203,D.ファイターリスト!$B$5:$C$86,2,FALSE)</f>
        <v>ポケトレ</v>
      </c>
      <c r="G203" s="2">
        <v>0</v>
      </c>
      <c r="H203" s="2">
        <v>0</v>
      </c>
      <c r="I203" s="34"/>
    </row>
    <row r="204" spans="1:9" x14ac:dyDescent="0.45">
      <c r="A204" s="2">
        <v>26</v>
      </c>
      <c r="B204" s="2" t="s">
        <v>15</v>
      </c>
      <c r="C204" s="2" t="str">
        <f>VLOOKUP(B204,D.ファイターリスト!$B$5:$C$86,2,FALSE)</f>
        <v>ガノン</v>
      </c>
      <c r="D204" s="2">
        <v>39</v>
      </c>
      <c r="E204" s="2" t="s">
        <v>24</v>
      </c>
      <c r="F204" s="2" t="str">
        <f>VLOOKUP(E204,D.ファイターリスト!$B$5:$C$86,2,FALSE)</f>
        <v>DD</v>
      </c>
      <c r="G204" s="2">
        <v>0</v>
      </c>
      <c r="H204" s="2">
        <v>0</v>
      </c>
      <c r="I204" s="33"/>
    </row>
    <row r="205" spans="1:9" x14ac:dyDescent="0.45">
      <c r="A205" s="2">
        <v>26</v>
      </c>
      <c r="B205" s="2" t="s">
        <v>15</v>
      </c>
      <c r="C205" s="2" t="str">
        <f>VLOOKUP(B205,D.ファイターリスト!$B$5:$C$86,2,FALSE)</f>
        <v>ガノン</v>
      </c>
      <c r="D205" s="2">
        <v>40</v>
      </c>
      <c r="E205" s="2" t="s">
        <v>25</v>
      </c>
      <c r="F205" s="2" t="str">
        <f>VLOOKUP(E205,D.ファイターリスト!$B$5:$C$86,2,FALSE)</f>
        <v>リュカ</v>
      </c>
      <c r="G205" s="2">
        <v>1</v>
      </c>
      <c r="H205" s="2">
        <v>2</v>
      </c>
      <c r="I205" s="33"/>
    </row>
    <row r="206" spans="1:9" x14ac:dyDescent="0.45">
      <c r="A206" s="2">
        <v>26</v>
      </c>
      <c r="B206" s="2" t="s">
        <v>15</v>
      </c>
      <c r="C206" s="2" t="str">
        <f>VLOOKUP(B206,D.ファイターリスト!$B$5:$C$86,2,FALSE)</f>
        <v>ガノン</v>
      </c>
      <c r="D206" s="2">
        <v>41</v>
      </c>
      <c r="E206" s="2" t="s">
        <v>26</v>
      </c>
      <c r="F206" s="2" t="str">
        <f>VLOOKUP(E206,D.ファイターリスト!$B$5:$C$86,2,FALSE)</f>
        <v>ソニック</v>
      </c>
      <c r="G206" s="2">
        <v>0</v>
      </c>
      <c r="H206" s="2">
        <v>0</v>
      </c>
      <c r="I206" s="33"/>
    </row>
    <row r="207" spans="1:9" x14ac:dyDescent="0.45">
      <c r="A207" s="2">
        <v>26</v>
      </c>
      <c r="B207" s="2" t="s">
        <v>15</v>
      </c>
      <c r="C207" s="2" t="str">
        <f>VLOOKUP(B207,D.ファイターリスト!$B$5:$C$86,2,FALSE)</f>
        <v>ガノン</v>
      </c>
      <c r="D207" s="2">
        <v>42</v>
      </c>
      <c r="E207" s="2" t="s">
        <v>27</v>
      </c>
      <c r="F207" s="2" t="str">
        <f>VLOOKUP(E207,D.ファイターリスト!$B$5:$C$86,2,FALSE)</f>
        <v>DDD</v>
      </c>
      <c r="G207" s="2">
        <v>0</v>
      </c>
      <c r="H207" s="2">
        <v>1</v>
      </c>
      <c r="I207" s="33"/>
    </row>
    <row r="208" spans="1:9" x14ac:dyDescent="0.45">
      <c r="A208" s="2">
        <v>26</v>
      </c>
      <c r="B208" s="2" t="s">
        <v>15</v>
      </c>
      <c r="C208" s="2" t="str">
        <f>VLOOKUP(B208,D.ファイターリスト!$B$5:$C$86,2,FALSE)</f>
        <v>ガノン</v>
      </c>
      <c r="D208" s="2">
        <v>43</v>
      </c>
      <c r="E208" s="2" t="s">
        <v>28</v>
      </c>
      <c r="F208" s="2" t="str">
        <f>VLOOKUP(E208,D.ファイターリスト!$B$5:$C$86,2,FALSE)</f>
        <v>ピクオリ</v>
      </c>
      <c r="G208" s="2">
        <v>0</v>
      </c>
      <c r="H208" s="2">
        <v>0</v>
      </c>
      <c r="I208" s="34"/>
    </row>
    <row r="209" spans="1:9" x14ac:dyDescent="0.45">
      <c r="A209" s="2">
        <v>26</v>
      </c>
      <c r="B209" s="2" t="s">
        <v>15</v>
      </c>
      <c r="C209" s="2" t="str">
        <f>VLOOKUP(B209,D.ファイターリスト!$B$5:$C$86,2,FALSE)</f>
        <v>ガノン</v>
      </c>
      <c r="D209" s="2">
        <v>44</v>
      </c>
      <c r="E209" s="2" t="s">
        <v>29</v>
      </c>
      <c r="F209" s="2" t="str">
        <f>VLOOKUP(E209,D.ファイターリスト!$B$5:$C$86,2,FALSE)</f>
        <v>ルカリオ</v>
      </c>
      <c r="G209" s="2">
        <v>0</v>
      </c>
      <c r="H209" s="2">
        <v>0</v>
      </c>
      <c r="I209" s="34"/>
    </row>
    <row r="210" spans="1:9" x14ac:dyDescent="0.45">
      <c r="A210" s="2">
        <v>26</v>
      </c>
      <c r="B210" s="2" t="s">
        <v>15</v>
      </c>
      <c r="C210" s="2" t="str">
        <f>VLOOKUP(B210,D.ファイターリスト!$B$5:$C$86,2,FALSE)</f>
        <v>ガノン</v>
      </c>
      <c r="D210" s="2">
        <v>45</v>
      </c>
      <c r="E210" s="2" t="s">
        <v>30</v>
      </c>
      <c r="F210" s="2" t="str">
        <f>VLOOKUP(E210,D.ファイターリスト!$B$5:$C$86,2,FALSE)</f>
        <v>ロボット</v>
      </c>
      <c r="G210" s="2">
        <v>1</v>
      </c>
      <c r="H210" s="2">
        <v>0</v>
      </c>
      <c r="I210" s="33"/>
    </row>
    <row r="211" spans="1:9" x14ac:dyDescent="0.45">
      <c r="A211" s="2">
        <v>26</v>
      </c>
      <c r="B211" s="2" t="s">
        <v>15</v>
      </c>
      <c r="C211" s="2" t="str">
        <f>VLOOKUP(B211,D.ファイターリスト!$B$5:$C$86,2,FALSE)</f>
        <v>ガノン</v>
      </c>
      <c r="D211" s="2">
        <v>46</v>
      </c>
      <c r="E211" s="2" t="s">
        <v>31</v>
      </c>
      <c r="F211" s="2" t="str">
        <f>VLOOKUP(E211,D.ファイターリスト!$B$5:$C$86,2,FALSE)</f>
        <v>トリン</v>
      </c>
      <c r="G211" s="2">
        <v>0</v>
      </c>
      <c r="H211" s="2">
        <v>0</v>
      </c>
      <c r="I211" s="34"/>
    </row>
    <row r="212" spans="1:9" x14ac:dyDescent="0.45">
      <c r="A212" s="2">
        <v>26</v>
      </c>
      <c r="B212" s="2" t="s">
        <v>15</v>
      </c>
      <c r="C212" s="2" t="str">
        <f>VLOOKUP(B212,D.ファイターリスト!$B$5:$C$86,2,FALSE)</f>
        <v>ガノン</v>
      </c>
      <c r="D212" s="2">
        <v>47</v>
      </c>
      <c r="E212" s="2" t="s">
        <v>32</v>
      </c>
      <c r="F212" s="2" t="str">
        <f>VLOOKUP(E212,D.ファイターリスト!$B$5:$C$86,2,FALSE)</f>
        <v>ウルフ</v>
      </c>
      <c r="G212" s="2">
        <v>2</v>
      </c>
      <c r="H212" s="2">
        <v>0</v>
      </c>
      <c r="I212" s="33"/>
    </row>
    <row r="213" spans="1:9" x14ac:dyDescent="0.45">
      <c r="A213" s="2">
        <v>26</v>
      </c>
      <c r="B213" s="2" t="s">
        <v>15</v>
      </c>
      <c r="C213" s="2" t="str">
        <f>VLOOKUP(B213,D.ファイターリスト!$B$5:$C$86,2,FALSE)</f>
        <v>ガノン</v>
      </c>
      <c r="D213" s="2">
        <v>48</v>
      </c>
      <c r="E213" s="2" t="s">
        <v>33</v>
      </c>
      <c r="F213" s="2" t="str">
        <f>VLOOKUP(E213,D.ファイターリスト!$B$5:$C$86,2,FALSE)</f>
        <v>むらびと</v>
      </c>
      <c r="G213" s="2">
        <v>0</v>
      </c>
      <c r="H213" s="2">
        <v>0</v>
      </c>
      <c r="I213" s="33"/>
    </row>
    <row r="214" spans="1:9" x14ac:dyDescent="0.45">
      <c r="A214" s="2">
        <v>26</v>
      </c>
      <c r="B214" s="2" t="s">
        <v>15</v>
      </c>
      <c r="C214" s="2" t="str">
        <f>VLOOKUP(B214,D.ファイターリスト!$B$5:$C$86,2,FALSE)</f>
        <v>ガノン</v>
      </c>
      <c r="D214" s="2">
        <v>49</v>
      </c>
      <c r="E214" s="2" t="s">
        <v>34</v>
      </c>
      <c r="F214" s="2" t="str">
        <f>VLOOKUP(E214,D.ファイターリスト!$B$5:$C$86,2,FALSE)</f>
        <v>岩</v>
      </c>
      <c r="G214" s="2">
        <v>0</v>
      </c>
      <c r="H214" s="2">
        <v>0</v>
      </c>
      <c r="I214" s="34"/>
    </row>
    <row r="215" spans="1:9" x14ac:dyDescent="0.45">
      <c r="A215" s="2">
        <v>26</v>
      </c>
      <c r="B215" s="2" t="s">
        <v>15</v>
      </c>
      <c r="C215" s="2" t="str">
        <f>VLOOKUP(B215,D.ファイターリスト!$B$5:$C$86,2,FALSE)</f>
        <v>ガノン</v>
      </c>
      <c r="D215" s="2">
        <v>50</v>
      </c>
      <c r="E215" s="2" t="s">
        <v>35</v>
      </c>
      <c r="F215" s="2" t="str">
        <f>VLOOKUP(E215,D.ファイターリスト!$B$5:$C$86,2,FALSE)</f>
        <v>フィットレ</v>
      </c>
      <c r="G215" s="2">
        <v>0</v>
      </c>
      <c r="H215" s="2">
        <v>0</v>
      </c>
      <c r="I215" s="34"/>
    </row>
    <row r="216" spans="1:9" x14ac:dyDescent="0.45">
      <c r="A216" s="2">
        <v>26</v>
      </c>
      <c r="B216" s="2" t="s">
        <v>15</v>
      </c>
      <c r="C216" s="2" t="str">
        <f>VLOOKUP(B216,D.ファイターリスト!$B$5:$C$86,2,FALSE)</f>
        <v>ガノン</v>
      </c>
      <c r="D216" s="2">
        <v>51</v>
      </c>
      <c r="E216" s="2" t="s">
        <v>36</v>
      </c>
      <c r="F216" s="2" t="str">
        <f>VLOOKUP(E216,D.ファイターリスト!$B$5:$C$86,2,FALSE)</f>
        <v>ロゼチコ</v>
      </c>
      <c r="G216" s="2">
        <v>0</v>
      </c>
      <c r="H216" s="2">
        <v>0</v>
      </c>
      <c r="I216" s="34"/>
    </row>
    <row r="217" spans="1:9" x14ac:dyDescent="0.45">
      <c r="A217" s="2">
        <v>26</v>
      </c>
      <c r="B217" s="2" t="s">
        <v>15</v>
      </c>
      <c r="C217" s="2" t="str">
        <f>VLOOKUP(B217,D.ファイターリスト!$B$5:$C$86,2,FALSE)</f>
        <v>ガノン</v>
      </c>
      <c r="D217" s="2">
        <v>52</v>
      </c>
      <c r="E217" s="2" t="s">
        <v>37</v>
      </c>
      <c r="F217" s="2" t="str">
        <f>VLOOKUP(E217,D.ファイターリスト!$B$5:$C$86,2,FALSE)</f>
        <v>リトマ</v>
      </c>
      <c r="G217" s="2">
        <v>1</v>
      </c>
      <c r="H217" s="2">
        <v>2</v>
      </c>
      <c r="I217" s="34"/>
    </row>
    <row r="218" spans="1:9" x14ac:dyDescent="0.45">
      <c r="A218" s="2">
        <v>26</v>
      </c>
      <c r="B218" s="2" t="s">
        <v>15</v>
      </c>
      <c r="C218" s="2" t="str">
        <f>VLOOKUP(B218,D.ファイターリスト!$B$5:$C$86,2,FALSE)</f>
        <v>ガノン</v>
      </c>
      <c r="D218" s="2">
        <v>53</v>
      </c>
      <c r="E218" s="2" t="s">
        <v>38</v>
      </c>
      <c r="F218" s="2" t="str">
        <f>VLOOKUP(E218,D.ファイターリスト!$B$5:$C$86,2,FALSE)</f>
        <v>ゲコ</v>
      </c>
      <c r="G218" s="2">
        <v>1</v>
      </c>
      <c r="H218" s="2">
        <v>0</v>
      </c>
      <c r="I218" s="33"/>
    </row>
    <row r="219" spans="1:9" x14ac:dyDescent="0.45">
      <c r="A219" s="2">
        <v>26</v>
      </c>
      <c r="B219" s="2" t="s">
        <v>15</v>
      </c>
      <c r="C219" s="2" t="str">
        <f>VLOOKUP(B219,D.ファイターリスト!$B$5:$C$86,2,FALSE)</f>
        <v>ガノン</v>
      </c>
      <c r="D219" s="2">
        <v>54</v>
      </c>
      <c r="E219" s="2" t="s">
        <v>39</v>
      </c>
      <c r="F219" s="2" t="str">
        <f>VLOOKUP(E219,D.ファイターリスト!$B$5:$C$86,2,FALSE)</f>
        <v>カクミ</v>
      </c>
      <c r="G219" s="2">
        <v>0</v>
      </c>
      <c r="H219" s="2">
        <v>2</v>
      </c>
      <c r="I219" s="34"/>
    </row>
    <row r="220" spans="1:9" x14ac:dyDescent="0.45">
      <c r="A220" s="2">
        <v>26</v>
      </c>
      <c r="B220" s="2" t="s">
        <v>15</v>
      </c>
      <c r="C220" s="2" t="str">
        <f>VLOOKUP(B220,D.ファイターリスト!$B$5:$C$86,2,FALSE)</f>
        <v>ガノン</v>
      </c>
      <c r="D220" s="2">
        <v>55</v>
      </c>
      <c r="E220" s="2" t="s">
        <v>40</v>
      </c>
      <c r="F220" s="2" t="str">
        <f>VLOOKUP(E220,D.ファイターリスト!$B$5:$C$86,2,FALSE)</f>
        <v>ケンミ</v>
      </c>
      <c r="G220" s="2">
        <v>0</v>
      </c>
      <c r="H220" s="2">
        <v>0</v>
      </c>
      <c r="I220" s="34"/>
    </row>
    <row r="221" spans="1:9" x14ac:dyDescent="0.45">
      <c r="A221" s="2">
        <v>26</v>
      </c>
      <c r="B221" s="2" t="s">
        <v>15</v>
      </c>
      <c r="C221" s="2" t="str">
        <f>VLOOKUP(B221,D.ファイターリスト!$B$5:$C$86,2,FALSE)</f>
        <v>ガノン</v>
      </c>
      <c r="D221" s="2">
        <v>56</v>
      </c>
      <c r="E221" s="2" t="s">
        <v>41</v>
      </c>
      <c r="F221" s="2" t="str">
        <f>VLOOKUP(E221,D.ファイターリスト!$B$5:$C$86,2,FALSE)</f>
        <v>シャゲミ</v>
      </c>
      <c r="G221" s="2">
        <v>0</v>
      </c>
      <c r="H221" s="2">
        <v>0</v>
      </c>
      <c r="I221" s="34"/>
    </row>
    <row r="222" spans="1:9" x14ac:dyDescent="0.45">
      <c r="A222" s="2">
        <v>26</v>
      </c>
      <c r="B222" s="2" t="s">
        <v>15</v>
      </c>
      <c r="C222" s="2" t="str">
        <f>VLOOKUP(B222,D.ファイターリスト!$B$5:$C$86,2,FALSE)</f>
        <v>ガノン</v>
      </c>
      <c r="D222" s="2">
        <v>57</v>
      </c>
      <c r="E222" s="2" t="s">
        <v>42</v>
      </c>
      <c r="F222" s="2" t="str">
        <f>VLOOKUP(E222,D.ファイターリスト!$B$5:$C$86,2,FALSE)</f>
        <v>パルテナ</v>
      </c>
      <c r="G222" s="2">
        <v>0</v>
      </c>
      <c r="H222" s="2">
        <v>0</v>
      </c>
      <c r="I222" s="33"/>
    </row>
    <row r="223" spans="1:9" x14ac:dyDescent="0.45">
      <c r="A223" s="2">
        <v>26</v>
      </c>
      <c r="B223" s="2" t="s">
        <v>15</v>
      </c>
      <c r="C223" s="2" t="str">
        <f>VLOOKUP(B223,D.ファイターリスト!$B$5:$C$86,2,FALSE)</f>
        <v>ガノン</v>
      </c>
      <c r="D223" s="2">
        <v>58</v>
      </c>
      <c r="E223" s="2" t="s">
        <v>43</v>
      </c>
      <c r="F223" s="2" t="str">
        <f>VLOOKUP(E223,D.ファイターリスト!$B$5:$C$86,2,FALSE)</f>
        <v>金玉</v>
      </c>
      <c r="G223" s="2">
        <v>0</v>
      </c>
      <c r="H223" s="2">
        <v>0</v>
      </c>
      <c r="I223" s="34"/>
    </row>
    <row r="224" spans="1:9" x14ac:dyDescent="0.45">
      <c r="A224" s="2">
        <v>26</v>
      </c>
      <c r="B224" s="2" t="s">
        <v>15</v>
      </c>
      <c r="C224" s="2" t="str">
        <f>VLOOKUP(B224,D.ファイターリスト!$B$5:$C$86,2,FALSE)</f>
        <v>ガノン</v>
      </c>
      <c r="D224" s="2">
        <v>59</v>
      </c>
      <c r="E224" s="2" t="s">
        <v>44</v>
      </c>
      <c r="F224" s="2" t="str">
        <f>VLOOKUP(E224,D.ファイターリスト!$B$5:$C$86,2,FALSE)</f>
        <v>ルフレ</v>
      </c>
      <c r="G224" s="2">
        <v>1</v>
      </c>
      <c r="H224" s="2">
        <v>1</v>
      </c>
      <c r="I224" s="34"/>
    </row>
    <row r="225" spans="1:9" x14ac:dyDescent="0.45">
      <c r="A225" s="2">
        <v>26</v>
      </c>
      <c r="B225" s="2" t="s">
        <v>15</v>
      </c>
      <c r="C225" s="2" t="str">
        <f>VLOOKUP(B225,D.ファイターリスト!$B$5:$C$86,2,FALSE)</f>
        <v>ガノン</v>
      </c>
      <c r="D225" s="2">
        <v>60</v>
      </c>
      <c r="E225" s="2" t="s">
        <v>45</v>
      </c>
      <c r="F225" s="2" t="str">
        <f>VLOOKUP(E225,D.ファイターリスト!$B$5:$C$86,2,FALSE)</f>
        <v>手越</v>
      </c>
      <c r="G225" s="2">
        <v>0</v>
      </c>
      <c r="H225" s="2">
        <v>0</v>
      </c>
      <c r="I225" s="34"/>
    </row>
    <row r="226" spans="1:9" x14ac:dyDescent="0.45">
      <c r="A226" s="2">
        <v>26</v>
      </c>
      <c r="B226" s="2" t="s">
        <v>15</v>
      </c>
      <c r="C226" s="2" t="str">
        <f>VLOOKUP(B226,D.ファイターリスト!$B$5:$C$86,2,FALSE)</f>
        <v>ガノン</v>
      </c>
      <c r="D226" s="2">
        <v>61</v>
      </c>
      <c r="E226" s="2" t="s">
        <v>46</v>
      </c>
      <c r="F226" s="2" t="str">
        <f>VLOOKUP(E226,D.ファイターリスト!$B$5:$C$86,2,FALSE)</f>
        <v>パジュニ</v>
      </c>
      <c r="G226" s="2">
        <v>0</v>
      </c>
      <c r="H226" s="2">
        <v>0</v>
      </c>
      <c r="I226" s="33"/>
    </row>
    <row r="227" spans="1:9" x14ac:dyDescent="0.45">
      <c r="A227" s="2">
        <v>26</v>
      </c>
      <c r="B227" s="2" t="s">
        <v>15</v>
      </c>
      <c r="C227" s="2" t="str">
        <f>VLOOKUP(B227,D.ファイターリスト!$B$5:$C$86,2,FALSE)</f>
        <v>ガノン</v>
      </c>
      <c r="D227" s="2">
        <v>62</v>
      </c>
      <c r="E227" s="2" t="s">
        <v>47</v>
      </c>
      <c r="F227" s="2" t="str">
        <f>VLOOKUP(E227,D.ファイターリスト!$B$5:$C$86,2,FALSE)</f>
        <v>犬</v>
      </c>
      <c r="G227" s="2">
        <v>1</v>
      </c>
      <c r="H227" s="2">
        <v>0</v>
      </c>
      <c r="I227" s="33"/>
    </row>
    <row r="228" spans="1:9" x14ac:dyDescent="0.45">
      <c r="A228" s="2">
        <v>26</v>
      </c>
      <c r="B228" s="2" t="s">
        <v>15</v>
      </c>
      <c r="C228" s="2" t="str">
        <f>VLOOKUP(B228,D.ファイターリスト!$B$5:$C$86,2,FALSE)</f>
        <v>ガノン</v>
      </c>
      <c r="D228" s="2">
        <v>63</v>
      </c>
      <c r="E228" s="2" t="s">
        <v>48</v>
      </c>
      <c r="F228" s="2" t="str">
        <f>VLOOKUP(E228,D.ファイターリスト!$B$5:$C$86,2,FALSE)</f>
        <v>リュウ</v>
      </c>
      <c r="G228" s="2">
        <v>2</v>
      </c>
      <c r="H228" s="2">
        <v>0</v>
      </c>
      <c r="I228" s="33"/>
    </row>
    <row r="229" spans="1:9" x14ac:dyDescent="0.45">
      <c r="A229" s="2">
        <v>26</v>
      </c>
      <c r="B229" s="2" t="s">
        <v>15</v>
      </c>
      <c r="C229" s="2" t="str">
        <f>VLOOKUP(B229,D.ファイターリスト!$B$5:$C$86,2,FALSE)</f>
        <v>ガノン</v>
      </c>
      <c r="D229" s="2">
        <v>64</v>
      </c>
      <c r="E229" s="2" t="s">
        <v>49</v>
      </c>
      <c r="F229" s="2" t="str">
        <f>VLOOKUP(E229,D.ファイターリスト!$B$5:$C$86,2,FALSE)</f>
        <v>剣</v>
      </c>
      <c r="G229" s="2">
        <v>3</v>
      </c>
      <c r="H229" s="2">
        <v>0</v>
      </c>
      <c r="I229" s="33" t="s">
        <v>252</v>
      </c>
    </row>
    <row r="230" spans="1:9" ht="19.2" x14ac:dyDescent="0.45">
      <c r="A230" s="2">
        <v>26</v>
      </c>
      <c r="B230" s="2" t="s">
        <v>15</v>
      </c>
      <c r="C230" s="2" t="str">
        <f>VLOOKUP(B230,D.ファイターリスト!$B$5:$C$86,2,FALSE)</f>
        <v>ガノン</v>
      </c>
      <c r="D230" s="2">
        <v>65</v>
      </c>
      <c r="E230" s="2" t="s">
        <v>50</v>
      </c>
      <c r="F230" s="2" t="str">
        <f>VLOOKUP(E230,D.ファイターリスト!$B$5:$C$86,2,FALSE)</f>
        <v>クラウド</v>
      </c>
      <c r="G230" s="2">
        <v>1</v>
      </c>
      <c r="H230" s="2">
        <v>2</v>
      </c>
      <c r="I230" s="33" t="s">
        <v>253</v>
      </c>
    </row>
    <row r="231" spans="1:9" x14ac:dyDescent="0.45">
      <c r="A231" s="2">
        <v>26</v>
      </c>
      <c r="B231" s="2" t="s">
        <v>15</v>
      </c>
      <c r="C231" s="2" t="str">
        <f>VLOOKUP(B231,D.ファイターリスト!$B$5:$C$86,2,FALSE)</f>
        <v>ガノン</v>
      </c>
      <c r="D231" s="2">
        <v>66</v>
      </c>
      <c r="E231" s="2" t="s">
        <v>51</v>
      </c>
      <c r="F231" s="2" t="str">
        <f>VLOOKUP(E231,D.ファイターリスト!$B$5:$C$86,2,FALSE)</f>
        <v>カムイ</v>
      </c>
      <c r="G231" s="2">
        <v>0</v>
      </c>
      <c r="H231" s="2">
        <v>0</v>
      </c>
      <c r="I231" s="33"/>
    </row>
    <row r="232" spans="1:9" x14ac:dyDescent="0.45">
      <c r="A232" s="2">
        <v>26</v>
      </c>
      <c r="B232" s="2" t="s">
        <v>15</v>
      </c>
      <c r="C232" s="2" t="str">
        <f>VLOOKUP(B232,D.ファイターリスト!$B$5:$C$86,2,FALSE)</f>
        <v>ガノン</v>
      </c>
      <c r="D232" s="2">
        <v>67</v>
      </c>
      <c r="E232" s="2" t="s">
        <v>52</v>
      </c>
      <c r="F232" s="2" t="str">
        <f>VLOOKUP(E232,D.ファイターリスト!$B$5:$C$86,2,FALSE)</f>
        <v>ベヨネッタ</v>
      </c>
      <c r="G232" s="2">
        <v>0</v>
      </c>
      <c r="H232" s="2">
        <v>0</v>
      </c>
      <c r="I232" s="33"/>
    </row>
    <row r="233" spans="1:9" x14ac:dyDescent="0.45">
      <c r="A233" s="2">
        <v>26</v>
      </c>
      <c r="B233" s="2" t="s">
        <v>15</v>
      </c>
      <c r="C233" s="2" t="str">
        <f>VLOOKUP(B233,D.ファイターリスト!$B$5:$C$86,2,FALSE)</f>
        <v>ガノン</v>
      </c>
      <c r="D233" s="2">
        <v>68</v>
      </c>
      <c r="E233" s="2" t="s">
        <v>53</v>
      </c>
      <c r="F233" s="2" t="str">
        <f>VLOOKUP(E233,D.ファイターリスト!$B$5:$C$86,2,FALSE)</f>
        <v>イカ</v>
      </c>
      <c r="G233" s="2">
        <v>0</v>
      </c>
      <c r="H233" s="2">
        <v>0</v>
      </c>
      <c r="I233" s="34"/>
    </row>
    <row r="234" spans="1:9" x14ac:dyDescent="0.45">
      <c r="A234" s="2">
        <v>26</v>
      </c>
      <c r="B234" s="2" t="s">
        <v>15</v>
      </c>
      <c r="C234" s="2" t="str">
        <f>VLOOKUP(B234,D.ファイターリスト!$B$5:$C$86,2,FALSE)</f>
        <v>ガノン</v>
      </c>
      <c r="D234" s="2">
        <v>69</v>
      </c>
      <c r="E234" s="2" t="s">
        <v>54</v>
      </c>
      <c r="F234" s="2" t="str">
        <f>VLOOKUP(E234,D.ファイターリスト!$B$5:$C$86,2,FALSE)</f>
        <v>リドリー</v>
      </c>
      <c r="G234" s="2">
        <v>0</v>
      </c>
      <c r="H234" s="2">
        <v>0</v>
      </c>
      <c r="I234" s="33"/>
    </row>
    <row r="235" spans="1:9" x14ac:dyDescent="0.45">
      <c r="A235" s="2">
        <v>26</v>
      </c>
      <c r="B235" s="2" t="s">
        <v>15</v>
      </c>
      <c r="C235" s="2" t="str">
        <f>VLOOKUP(B235,D.ファイターリスト!$B$5:$C$86,2,FALSE)</f>
        <v>ガノン</v>
      </c>
      <c r="D235" s="2">
        <v>70</v>
      </c>
      <c r="E235" s="2" t="s">
        <v>151</v>
      </c>
      <c r="F235" s="2" t="str">
        <f>VLOOKUP(E235,D.ファイターリスト!$B$5:$C$86,2,FALSE)</f>
        <v>シモリヒ</v>
      </c>
      <c r="G235" s="2">
        <v>0</v>
      </c>
      <c r="H235" s="2">
        <v>0</v>
      </c>
      <c r="I235" s="33"/>
    </row>
    <row r="236" spans="1:9" x14ac:dyDescent="0.45">
      <c r="A236" s="2">
        <v>26</v>
      </c>
      <c r="B236" s="2" t="s">
        <v>15</v>
      </c>
      <c r="C236" s="2" t="str">
        <f>VLOOKUP(B236,D.ファイターリスト!$B$5:$C$86,2,FALSE)</f>
        <v>ガノン</v>
      </c>
      <c r="D236" s="2">
        <v>72</v>
      </c>
      <c r="E236" s="2" t="s">
        <v>55</v>
      </c>
      <c r="F236" s="2" t="str">
        <f>VLOOKUP(E236,D.ファイターリスト!$B$5:$C$86,2,FALSE)</f>
        <v>キンクル</v>
      </c>
      <c r="G236" s="2">
        <v>3</v>
      </c>
      <c r="H236" s="2">
        <v>5</v>
      </c>
      <c r="I236" s="33"/>
    </row>
    <row r="237" spans="1:9" x14ac:dyDescent="0.45">
      <c r="A237" s="2">
        <v>26</v>
      </c>
      <c r="B237" s="2" t="s">
        <v>15</v>
      </c>
      <c r="C237" s="2" t="str">
        <f>VLOOKUP(B237,D.ファイターリスト!$B$5:$C$86,2,FALSE)</f>
        <v>ガノン</v>
      </c>
      <c r="D237" s="2">
        <v>73</v>
      </c>
      <c r="E237" s="2" t="s">
        <v>56</v>
      </c>
      <c r="F237" s="2" t="str">
        <f>VLOOKUP(E237,D.ファイターリスト!$B$5:$C$86,2,FALSE)</f>
        <v>しずえ</v>
      </c>
      <c r="G237" s="2">
        <v>0</v>
      </c>
      <c r="H237" s="2">
        <v>0</v>
      </c>
      <c r="I237" s="33"/>
    </row>
    <row r="238" spans="1:9" x14ac:dyDescent="0.45">
      <c r="A238" s="2">
        <v>26</v>
      </c>
      <c r="B238" s="2" t="s">
        <v>15</v>
      </c>
      <c r="C238" s="2" t="str">
        <f>VLOOKUP(B238,D.ファイターリスト!$B$5:$C$86,2,FALSE)</f>
        <v>ガノン</v>
      </c>
      <c r="D238" s="2">
        <v>74</v>
      </c>
      <c r="E238" s="2" t="s">
        <v>57</v>
      </c>
      <c r="F238" s="2" t="str">
        <f>VLOOKUP(E238,D.ファイターリスト!$B$5:$C$86,2,FALSE)</f>
        <v>ガエン</v>
      </c>
      <c r="G238" s="2">
        <v>0</v>
      </c>
      <c r="H238" s="2">
        <v>1</v>
      </c>
      <c r="I238" s="33"/>
    </row>
    <row r="239" spans="1:9" x14ac:dyDescent="0.45">
      <c r="A239" s="2">
        <v>26</v>
      </c>
      <c r="B239" s="2" t="s">
        <v>15</v>
      </c>
      <c r="C239" s="2" t="str">
        <f>VLOOKUP(B239,D.ファイターリスト!$B$5:$C$86,2,FALSE)</f>
        <v>ガノン</v>
      </c>
      <c r="D239" s="2">
        <v>75</v>
      </c>
      <c r="E239" s="2" t="s">
        <v>58</v>
      </c>
      <c r="F239" s="2" t="str">
        <f>VLOOKUP(E239,D.ファイターリスト!$B$5:$C$86,2,FALSE)</f>
        <v>草</v>
      </c>
      <c r="G239" s="2">
        <v>0</v>
      </c>
      <c r="H239" s="2">
        <v>0</v>
      </c>
      <c r="I239" s="34"/>
    </row>
    <row r="240" spans="1:9" x14ac:dyDescent="0.45">
      <c r="A240" s="2">
        <v>26</v>
      </c>
      <c r="B240" s="2" t="s">
        <v>15</v>
      </c>
      <c r="C240" s="2" t="str">
        <f>VLOOKUP(B240,D.ファイターリスト!$B$5:$C$86,2,FALSE)</f>
        <v>ガノン</v>
      </c>
      <c r="D240" s="2">
        <v>76</v>
      </c>
      <c r="E240" s="2" t="s">
        <v>59</v>
      </c>
      <c r="F240" s="2" t="str">
        <f>VLOOKUP(E240,D.ファイターリスト!$B$5:$C$86,2,FALSE)</f>
        <v>J</v>
      </c>
      <c r="G240" s="2">
        <v>2</v>
      </c>
      <c r="H240" s="2">
        <v>0</v>
      </c>
      <c r="I240" s="33"/>
    </row>
    <row r="241" spans="1:9" ht="19.2" x14ac:dyDescent="0.45">
      <c r="A241" s="2">
        <v>26</v>
      </c>
      <c r="B241" s="2" t="s">
        <v>15</v>
      </c>
      <c r="C241" s="2" t="str">
        <f>VLOOKUP(B241,D.ファイターリスト!$B$5:$C$86,2,FALSE)</f>
        <v>ガノン</v>
      </c>
      <c r="D241" s="2">
        <v>77</v>
      </c>
      <c r="E241" s="2" t="s">
        <v>60</v>
      </c>
      <c r="F241" s="2" t="str">
        <f>VLOOKUP(E241,D.ファイターリスト!$B$5:$C$86,2,FALSE)</f>
        <v>勇者</v>
      </c>
      <c r="G241" s="2">
        <v>0</v>
      </c>
      <c r="H241" s="2">
        <v>0</v>
      </c>
      <c r="I241" s="33" t="s">
        <v>254</v>
      </c>
    </row>
    <row r="242" spans="1:9" x14ac:dyDescent="0.45">
      <c r="A242" s="2">
        <v>26</v>
      </c>
      <c r="B242" s="2" t="s">
        <v>15</v>
      </c>
      <c r="C242" s="2" t="str">
        <f>VLOOKUP(B242,D.ファイターリスト!$B$5:$C$86,2,FALSE)</f>
        <v>ガノン</v>
      </c>
      <c r="D242" s="2">
        <v>78</v>
      </c>
      <c r="E242" s="2" t="s">
        <v>61</v>
      </c>
      <c r="F242" s="2" t="str">
        <f>VLOOKUP(E242,D.ファイターリスト!$B$5:$C$86,2,FALSE)</f>
        <v>バンカズ</v>
      </c>
      <c r="G242" s="2">
        <v>0</v>
      </c>
      <c r="H242" s="2">
        <v>0</v>
      </c>
      <c r="I242" s="34"/>
    </row>
    <row r="243" spans="1:9" x14ac:dyDescent="0.45">
      <c r="A243" s="2">
        <v>26</v>
      </c>
      <c r="B243" s="2" t="s">
        <v>15</v>
      </c>
      <c r="C243" s="2" t="str">
        <f>VLOOKUP(B243,D.ファイターリスト!$B$5:$C$86,2,FALSE)</f>
        <v>ガノン</v>
      </c>
      <c r="D243" s="2">
        <v>79</v>
      </c>
      <c r="E243" s="2" t="s">
        <v>62</v>
      </c>
      <c r="F243" s="2" t="str">
        <f>VLOOKUP(E243,D.ファイターリスト!$B$5:$C$86,2,FALSE)</f>
        <v>テリー</v>
      </c>
      <c r="G243" s="2">
        <v>0</v>
      </c>
      <c r="H243" s="2">
        <v>1</v>
      </c>
      <c r="I243" s="33"/>
    </row>
    <row r="244" spans="1:9" x14ac:dyDescent="0.45">
      <c r="A244" s="2">
        <v>26</v>
      </c>
      <c r="B244" s="2" t="s">
        <v>15</v>
      </c>
      <c r="C244" s="2" t="str">
        <f>VLOOKUP(B244,D.ファイターリスト!$B$5:$C$86,2,FALSE)</f>
        <v>ガノン</v>
      </c>
      <c r="D244" s="2">
        <v>80</v>
      </c>
      <c r="E244" s="2" t="s">
        <v>63</v>
      </c>
      <c r="F244" s="2" t="str">
        <f>VLOOKUP(E244,D.ファイターリスト!$B$5:$C$86,2,FALSE)</f>
        <v>ベレトス</v>
      </c>
      <c r="G244" s="2">
        <v>0</v>
      </c>
      <c r="H244" s="2">
        <v>1</v>
      </c>
      <c r="I244" s="33"/>
    </row>
    <row r="245" spans="1:9" x14ac:dyDescent="0.45">
      <c r="A245" s="2">
        <v>26</v>
      </c>
      <c r="B245" s="2" t="s">
        <v>15</v>
      </c>
      <c r="C245" s="2" t="str">
        <f>VLOOKUP(B245,D.ファイターリスト!$B$5:$C$86,2,FALSE)</f>
        <v>ガノン</v>
      </c>
      <c r="D245" s="2">
        <v>81</v>
      </c>
      <c r="E245" s="2" t="s">
        <v>64</v>
      </c>
      <c r="F245" s="2" t="str">
        <f>VLOOKUP(E245,D.ファイターリスト!$B$5:$C$86,2,FALSE)</f>
        <v>メン</v>
      </c>
      <c r="G245" s="2">
        <v>0</v>
      </c>
      <c r="H245" s="2">
        <v>0</v>
      </c>
      <c r="I245" s="34"/>
    </row>
    <row r="246" spans="1:9" x14ac:dyDescent="0.45">
      <c r="A246" s="2">
        <v>26</v>
      </c>
      <c r="B246" s="2" t="s">
        <v>15</v>
      </c>
      <c r="C246" s="2" t="str">
        <f>VLOOKUP(B246,D.ファイターリスト!$B$5:$C$86,2,FALSE)</f>
        <v>ガノン</v>
      </c>
      <c r="D246" s="2">
        <v>82</v>
      </c>
      <c r="E246" s="2" t="s">
        <v>65</v>
      </c>
      <c r="F246" s="2" t="str">
        <f>VLOOKUP(E246,D.ファイターリスト!$B$5:$C$86,2,FALSE)</f>
        <v>スティーブ</v>
      </c>
      <c r="G246" s="2">
        <v>2</v>
      </c>
      <c r="H246" s="2">
        <v>2</v>
      </c>
      <c r="I246" s="33"/>
    </row>
    <row r="247" spans="1:9" x14ac:dyDescent="0.45">
      <c r="A247" s="2">
        <v>26</v>
      </c>
      <c r="B247" s="2" t="s">
        <v>15</v>
      </c>
      <c r="C247" s="2" t="str">
        <f>VLOOKUP(B247,D.ファイターリスト!$B$5:$C$86,2,FALSE)</f>
        <v>ガノン</v>
      </c>
      <c r="D247" s="2">
        <v>83</v>
      </c>
      <c r="E247" s="2" t="s">
        <v>66</v>
      </c>
      <c r="F247" s="2" t="str">
        <f>VLOOKUP(E247,D.ファイターリスト!$B$5:$C$86,2,FALSE)</f>
        <v>セフィロス</v>
      </c>
      <c r="G247" s="2">
        <v>1</v>
      </c>
      <c r="H247" s="2">
        <v>1</v>
      </c>
      <c r="I247" s="33"/>
    </row>
    <row r="248" spans="1:9" x14ac:dyDescent="0.45">
      <c r="A248" s="2">
        <v>26</v>
      </c>
      <c r="B248" s="2" t="s">
        <v>15</v>
      </c>
      <c r="C248" s="2" t="str">
        <f>VLOOKUP(B248,D.ファイターリスト!$B$5:$C$86,2,FALSE)</f>
        <v>ガノン</v>
      </c>
      <c r="D248" s="2">
        <v>84</v>
      </c>
      <c r="E248" s="2" t="s">
        <v>67</v>
      </c>
      <c r="F248" s="2" t="str">
        <f>VLOOKUP(E248,D.ファイターリスト!$B$5:$C$86,2,FALSE)</f>
        <v>ホムヒカ</v>
      </c>
      <c r="G248" s="2">
        <v>2</v>
      </c>
      <c r="H248" s="2">
        <v>0</v>
      </c>
      <c r="I248" s="33" t="s">
        <v>255</v>
      </c>
    </row>
    <row r="249" spans="1:9" x14ac:dyDescent="0.45">
      <c r="A249" s="2">
        <v>26</v>
      </c>
      <c r="B249" s="2" t="s">
        <v>15</v>
      </c>
      <c r="C249" s="2" t="str">
        <f>VLOOKUP(B249,D.ファイターリスト!$B$5:$C$86,2,FALSE)</f>
        <v>ガノン</v>
      </c>
      <c r="D249" s="2">
        <v>85</v>
      </c>
      <c r="E249" s="2" t="s">
        <v>68</v>
      </c>
      <c r="F249" s="2" t="str">
        <f>VLOOKUP(E249,D.ファイターリスト!$B$5:$C$86,2,FALSE)</f>
        <v>カズヤ</v>
      </c>
      <c r="G249" s="2">
        <v>1</v>
      </c>
      <c r="H249" s="2">
        <v>1</v>
      </c>
      <c r="I249" s="33"/>
    </row>
    <row r="250" spans="1:9" ht="28.8" x14ac:dyDescent="0.45">
      <c r="A250" s="2">
        <v>26</v>
      </c>
      <c r="B250" s="2" t="s">
        <v>15</v>
      </c>
      <c r="C250" s="2" t="str">
        <f>VLOOKUP(B250,D.ファイターリスト!$B$5:$C$86,2,FALSE)</f>
        <v>ガノン</v>
      </c>
      <c r="D250" s="2">
        <v>86</v>
      </c>
      <c r="E250" s="2" t="s">
        <v>69</v>
      </c>
      <c r="F250" s="2" t="str">
        <f>VLOOKUP(E250,D.ファイターリスト!$B$5:$C$86,2,FALSE)</f>
        <v>ソラ</v>
      </c>
      <c r="G250" s="2">
        <v>0</v>
      </c>
      <c r="H250" s="2">
        <v>2</v>
      </c>
      <c r="I250" s="33" t="s">
        <v>256</v>
      </c>
    </row>
    <row r="251" spans="1:9" x14ac:dyDescent="0.45">
      <c r="A251" s="2">
        <v>86</v>
      </c>
      <c r="B251" s="2" t="s">
        <v>69</v>
      </c>
      <c r="C251" s="2" t="str">
        <f>VLOOKUP(B251,D.ファイターリスト!$B$5:$C$86,2,FALSE)</f>
        <v>ソラ</v>
      </c>
      <c r="D251" s="2">
        <v>1</v>
      </c>
      <c r="E251" s="2" t="s">
        <v>70</v>
      </c>
      <c r="F251" s="2" t="str">
        <f>VLOOKUP(E251,D.ファイターリスト!$B$5:$C$86,2,FALSE)</f>
        <v>マリオ</v>
      </c>
      <c r="G251" s="2">
        <v>3</v>
      </c>
      <c r="H251" s="2">
        <v>2</v>
      </c>
      <c r="I251" s="33" t="s">
        <v>257</v>
      </c>
    </row>
    <row r="252" spans="1:9" x14ac:dyDescent="0.45">
      <c r="A252" s="2">
        <v>86</v>
      </c>
      <c r="B252" s="2" t="s">
        <v>69</v>
      </c>
      <c r="C252" s="2" t="str">
        <f>VLOOKUP(B252,D.ファイターリスト!$B$5:$C$86,2,FALSE)</f>
        <v>ソラ</v>
      </c>
      <c r="D252" s="2">
        <v>2</v>
      </c>
      <c r="E252" s="2" t="s">
        <v>71</v>
      </c>
      <c r="F252" s="2" t="str">
        <f>VLOOKUP(E252,D.ファイターリスト!$B$5:$C$86,2,FALSE)</f>
        <v>DK</v>
      </c>
      <c r="G252" s="2">
        <v>2</v>
      </c>
      <c r="H252" s="2">
        <v>2</v>
      </c>
      <c r="I252" s="33" t="s">
        <v>258</v>
      </c>
    </row>
    <row r="253" spans="1:9" x14ac:dyDescent="0.45">
      <c r="A253" s="2">
        <v>86</v>
      </c>
      <c r="B253" s="2" t="s">
        <v>69</v>
      </c>
      <c r="C253" s="2" t="str">
        <f>VLOOKUP(B253,D.ファイターリスト!$B$5:$C$86,2,FALSE)</f>
        <v>ソラ</v>
      </c>
      <c r="D253" s="2">
        <v>3</v>
      </c>
      <c r="E253" s="2" t="s">
        <v>72</v>
      </c>
      <c r="F253" s="2" t="str">
        <f>VLOOKUP(E253,D.ファイターリスト!$B$5:$C$86,2,FALSE)</f>
        <v>リンク</v>
      </c>
      <c r="G253" s="2">
        <v>0</v>
      </c>
      <c r="H253" s="2">
        <v>0</v>
      </c>
      <c r="I253" s="33"/>
    </row>
    <row r="254" spans="1:9" x14ac:dyDescent="0.45">
      <c r="A254" s="2">
        <v>86</v>
      </c>
      <c r="B254" s="2" t="s">
        <v>69</v>
      </c>
      <c r="C254" s="2" t="str">
        <f>VLOOKUP(B254,D.ファイターリスト!$B$5:$C$86,2,FALSE)</f>
        <v>ソラ</v>
      </c>
      <c r="D254" s="2">
        <v>4</v>
      </c>
      <c r="E254" s="2" t="s">
        <v>114</v>
      </c>
      <c r="F254" s="2" t="str">
        <f>VLOOKUP(E254,D.ファイターリスト!$B$5:$C$86,2,FALSE)</f>
        <v>ダムス</v>
      </c>
      <c r="G254" s="2">
        <v>0</v>
      </c>
      <c r="H254" s="2">
        <v>1</v>
      </c>
      <c r="I254" s="33"/>
    </row>
    <row r="255" spans="1:9" x14ac:dyDescent="0.45">
      <c r="A255" s="2">
        <v>86</v>
      </c>
      <c r="B255" s="2" t="s">
        <v>69</v>
      </c>
      <c r="C255" s="2" t="str">
        <f>VLOOKUP(B255,D.ファイターリスト!$B$5:$C$86,2,FALSE)</f>
        <v>ソラ</v>
      </c>
      <c r="D255" s="2">
        <v>6</v>
      </c>
      <c r="E255" s="2" t="s">
        <v>116</v>
      </c>
      <c r="F255" s="2" t="str">
        <f>VLOOKUP(E255,D.ファイターリスト!$B$5:$C$86,2,FALSE)</f>
        <v>ヨッシー</v>
      </c>
      <c r="G255" s="2">
        <v>0</v>
      </c>
      <c r="H255" s="2">
        <v>0</v>
      </c>
      <c r="I255" s="33"/>
    </row>
    <row r="256" spans="1:9" x14ac:dyDescent="0.45">
      <c r="A256" s="2">
        <v>86</v>
      </c>
      <c r="B256" s="2" t="s">
        <v>69</v>
      </c>
      <c r="C256" s="2" t="str">
        <f>VLOOKUP(B256,D.ファイターリスト!$B$5:$C$86,2,FALSE)</f>
        <v>ソラ</v>
      </c>
      <c r="D256" s="2">
        <v>7</v>
      </c>
      <c r="E256" s="2" t="s">
        <v>73</v>
      </c>
      <c r="F256" s="2" t="str">
        <f>VLOOKUP(E256,D.ファイターリスト!$B$5:$C$86,2,FALSE)</f>
        <v>CB</v>
      </c>
      <c r="G256" s="2">
        <v>0</v>
      </c>
      <c r="H256" s="2">
        <v>0</v>
      </c>
      <c r="I256" s="33"/>
    </row>
    <row r="257" spans="1:9" x14ac:dyDescent="0.45">
      <c r="A257" s="2">
        <v>86</v>
      </c>
      <c r="B257" s="2" t="s">
        <v>69</v>
      </c>
      <c r="C257" s="2" t="str">
        <f>VLOOKUP(B257,D.ファイターリスト!$B$5:$C$86,2,FALSE)</f>
        <v>ソラ</v>
      </c>
      <c r="D257" s="2">
        <v>8</v>
      </c>
      <c r="E257" s="2" t="s">
        <v>74</v>
      </c>
      <c r="F257" s="2" t="str">
        <f>VLOOKUP(E257,D.ファイターリスト!$B$5:$C$86,2,FALSE)</f>
        <v>FX</v>
      </c>
      <c r="G257" s="2">
        <v>0</v>
      </c>
      <c r="H257" s="2">
        <v>0</v>
      </c>
      <c r="I257" s="33"/>
    </row>
    <row r="258" spans="1:9" x14ac:dyDescent="0.45">
      <c r="A258" s="2">
        <v>86</v>
      </c>
      <c r="B258" s="2" t="s">
        <v>69</v>
      </c>
      <c r="C258" s="2" t="str">
        <f>VLOOKUP(B258,D.ファイターリスト!$B$5:$C$86,2,FALSE)</f>
        <v>ソラ</v>
      </c>
      <c r="D258" s="2">
        <v>9</v>
      </c>
      <c r="E258" s="2" t="s">
        <v>75</v>
      </c>
      <c r="F258" s="2" t="str">
        <f>VLOOKUP(E258,D.ファイターリスト!$B$5:$C$86,2,FALSE)</f>
        <v>ピカ</v>
      </c>
      <c r="G258" s="2">
        <v>1</v>
      </c>
      <c r="H258" s="2">
        <v>0</v>
      </c>
      <c r="I258" s="33"/>
    </row>
    <row r="259" spans="1:9" x14ac:dyDescent="0.45">
      <c r="A259" s="2">
        <v>86</v>
      </c>
      <c r="B259" s="2" t="s">
        <v>69</v>
      </c>
      <c r="C259" s="2" t="str">
        <f>VLOOKUP(B259,D.ファイターリスト!$B$5:$C$86,2,FALSE)</f>
        <v>ソラ</v>
      </c>
      <c r="D259" s="2">
        <v>10</v>
      </c>
      <c r="E259" s="2" t="s">
        <v>2</v>
      </c>
      <c r="F259" s="2" t="str">
        <f>VLOOKUP(E259,D.ファイターリスト!$B$5:$C$86,2,FALSE)</f>
        <v>L</v>
      </c>
      <c r="G259" s="2">
        <v>0</v>
      </c>
      <c r="H259" s="2">
        <v>0</v>
      </c>
      <c r="I259" s="33"/>
    </row>
    <row r="260" spans="1:9" x14ac:dyDescent="0.45">
      <c r="A260" s="2">
        <v>86</v>
      </c>
      <c r="B260" s="2" t="s">
        <v>69</v>
      </c>
      <c r="C260" s="2" t="str">
        <f>VLOOKUP(B260,D.ファイターリスト!$B$5:$C$86,2,FALSE)</f>
        <v>ソラ</v>
      </c>
      <c r="D260" s="2">
        <v>11</v>
      </c>
      <c r="E260" s="2" t="s">
        <v>3</v>
      </c>
      <c r="F260" s="2" t="str">
        <f>VLOOKUP(E260,D.ファイターリスト!$B$5:$C$86,2,FALSE)</f>
        <v>ネス</v>
      </c>
      <c r="G260" s="2">
        <v>0</v>
      </c>
      <c r="H260" s="2">
        <v>1</v>
      </c>
      <c r="I260" s="33"/>
    </row>
    <row r="261" spans="1:9" x14ac:dyDescent="0.45">
      <c r="A261" s="2">
        <v>86</v>
      </c>
      <c r="B261" s="2" t="s">
        <v>69</v>
      </c>
      <c r="C261" s="2" t="str">
        <f>VLOOKUP(B261,D.ファイターリスト!$B$5:$C$86,2,FALSE)</f>
        <v>ソラ</v>
      </c>
      <c r="D261" s="2">
        <v>12</v>
      </c>
      <c r="E261" s="2" t="s">
        <v>121</v>
      </c>
      <c r="F261" s="2" t="str">
        <f>VLOOKUP(E261,D.ファイターリスト!$B$5:$C$86,2,FALSE)</f>
        <v>CF</v>
      </c>
      <c r="G261" s="2">
        <v>0</v>
      </c>
      <c r="H261" s="2">
        <v>0</v>
      </c>
      <c r="I261" s="33"/>
    </row>
    <row r="262" spans="1:9" x14ac:dyDescent="0.45">
      <c r="A262" s="2">
        <v>86</v>
      </c>
      <c r="B262" s="2" t="s">
        <v>69</v>
      </c>
      <c r="C262" s="2" t="str">
        <f>VLOOKUP(B262,D.ファイターリスト!$B$5:$C$86,2,FALSE)</f>
        <v>ソラ</v>
      </c>
      <c r="D262" s="2">
        <v>13</v>
      </c>
      <c r="E262" s="2" t="s">
        <v>4</v>
      </c>
      <c r="F262" s="2" t="str">
        <f>VLOOKUP(E262,D.ファイターリスト!$B$5:$C$86,2,FALSE)</f>
        <v>プリン</v>
      </c>
      <c r="G262" s="2">
        <v>2</v>
      </c>
      <c r="H262" s="2">
        <v>0</v>
      </c>
      <c r="I262" s="33" t="s">
        <v>259</v>
      </c>
    </row>
    <row r="263" spans="1:9" x14ac:dyDescent="0.45">
      <c r="A263" s="2">
        <v>86</v>
      </c>
      <c r="B263" s="2" t="s">
        <v>69</v>
      </c>
      <c r="C263" s="2" t="str">
        <f>VLOOKUP(B263,D.ファイターリスト!$B$5:$C$86,2,FALSE)</f>
        <v>ソラ</v>
      </c>
      <c r="D263" s="2">
        <v>14</v>
      </c>
      <c r="E263" s="2" t="s">
        <v>123</v>
      </c>
      <c r="F263" s="2" t="str">
        <f>VLOOKUP(E263,D.ファイターリスト!$B$5:$C$86,2,FALSE)</f>
        <v>ピチデ</v>
      </c>
      <c r="G263" s="2">
        <v>0</v>
      </c>
      <c r="H263" s="2">
        <v>0</v>
      </c>
      <c r="I263" s="33"/>
    </row>
    <row r="264" spans="1:9" x14ac:dyDescent="0.45">
      <c r="A264" s="2">
        <v>86</v>
      </c>
      <c r="B264" s="2" t="s">
        <v>69</v>
      </c>
      <c r="C264" s="2" t="str">
        <f>VLOOKUP(B264,D.ファイターリスト!$B$5:$C$86,2,FALSE)</f>
        <v>ソラ</v>
      </c>
      <c r="D264" s="2">
        <v>16</v>
      </c>
      <c r="E264" s="2" t="s">
        <v>5</v>
      </c>
      <c r="F264" s="2" t="str">
        <f>VLOOKUP(E264,D.ファイターリスト!$B$5:$C$86,2,FALSE)</f>
        <v>カメ</v>
      </c>
      <c r="G264" s="2">
        <v>0</v>
      </c>
      <c r="H264" s="2">
        <v>0</v>
      </c>
      <c r="I264" s="34"/>
    </row>
    <row r="265" spans="1:9" x14ac:dyDescent="0.45">
      <c r="A265" s="2">
        <v>86</v>
      </c>
      <c r="B265" s="2" t="s">
        <v>69</v>
      </c>
      <c r="C265" s="2" t="str">
        <f>VLOOKUP(B265,D.ファイターリスト!$B$5:$C$86,2,FALSE)</f>
        <v>ソラ</v>
      </c>
      <c r="D265" s="2">
        <v>17</v>
      </c>
      <c r="E265" s="2" t="s">
        <v>6</v>
      </c>
      <c r="F265" s="2" t="str">
        <f>VLOOKUP(E265,D.ファイターリスト!$B$5:$C$86,2,FALSE)</f>
        <v>アイクラ</v>
      </c>
      <c r="G265" s="2">
        <v>0</v>
      </c>
      <c r="H265" s="2">
        <v>0</v>
      </c>
      <c r="I265" s="34"/>
    </row>
    <row r="266" spans="1:9" x14ac:dyDescent="0.45">
      <c r="A266" s="2">
        <v>86</v>
      </c>
      <c r="B266" s="2" t="s">
        <v>69</v>
      </c>
      <c r="C266" s="2" t="str">
        <f>VLOOKUP(B266,D.ファイターリスト!$B$5:$C$86,2,FALSE)</f>
        <v>ソラ</v>
      </c>
      <c r="D266" s="2">
        <v>18</v>
      </c>
      <c r="E266" s="2" t="s">
        <v>7</v>
      </c>
      <c r="F266" s="2" t="str">
        <f>VLOOKUP(E266,D.ファイターリスト!$B$5:$C$86,2,FALSE)</f>
        <v>シーク</v>
      </c>
      <c r="G266" s="2">
        <v>0</v>
      </c>
      <c r="H266" s="2">
        <v>0</v>
      </c>
      <c r="I266" s="34"/>
    </row>
    <row r="267" spans="1:9" x14ac:dyDescent="0.45">
      <c r="A267" s="2">
        <v>86</v>
      </c>
      <c r="B267" s="2" t="s">
        <v>69</v>
      </c>
      <c r="C267" s="2" t="str">
        <f>VLOOKUP(B267,D.ファイターリスト!$B$5:$C$86,2,FALSE)</f>
        <v>ソラ</v>
      </c>
      <c r="D267" s="2">
        <v>19</v>
      </c>
      <c r="E267" s="2" t="s">
        <v>8</v>
      </c>
      <c r="F267" s="2" t="str">
        <f>VLOOKUP(E267,D.ファイターリスト!$B$5:$C$86,2,FALSE)</f>
        <v>ゼルダ</v>
      </c>
      <c r="G267" s="2">
        <v>1</v>
      </c>
      <c r="H267" s="2">
        <v>0</v>
      </c>
      <c r="I267" s="33" t="s">
        <v>260</v>
      </c>
    </row>
    <row r="268" spans="1:9" x14ac:dyDescent="0.45">
      <c r="A268" s="2">
        <v>86</v>
      </c>
      <c r="B268" s="2" t="s">
        <v>69</v>
      </c>
      <c r="C268" s="2" t="str">
        <f>VLOOKUP(B268,D.ファイターリスト!$B$5:$C$86,2,FALSE)</f>
        <v>ソラ</v>
      </c>
      <c r="D268" s="2">
        <v>20</v>
      </c>
      <c r="E268" s="2" t="s">
        <v>9</v>
      </c>
      <c r="F268" s="2" t="str">
        <f>VLOOKUP(E268,D.ファイターリスト!$B$5:$C$86,2,FALSE)</f>
        <v>ドクマリ</v>
      </c>
      <c r="G268" s="2">
        <v>0</v>
      </c>
      <c r="H268" s="2">
        <v>0</v>
      </c>
      <c r="I268" s="34"/>
    </row>
    <row r="269" spans="1:9" x14ac:dyDescent="0.45">
      <c r="A269" s="2">
        <v>86</v>
      </c>
      <c r="B269" s="2" t="s">
        <v>69</v>
      </c>
      <c r="C269" s="2" t="str">
        <f>VLOOKUP(B269,D.ファイターリスト!$B$5:$C$86,2,FALSE)</f>
        <v>ソラ</v>
      </c>
      <c r="D269" s="2">
        <v>21</v>
      </c>
      <c r="E269" s="2" t="s">
        <v>10</v>
      </c>
      <c r="F269" s="2" t="str">
        <f>VLOOKUP(E269,D.ファイターリスト!$B$5:$C$86,2,FALSE)</f>
        <v>ピチュー</v>
      </c>
      <c r="G269" s="2">
        <v>0</v>
      </c>
      <c r="H269" s="2">
        <v>0</v>
      </c>
      <c r="I269" s="33"/>
    </row>
    <row r="270" spans="1:9" x14ac:dyDescent="0.45">
      <c r="A270" s="2">
        <v>86</v>
      </c>
      <c r="B270" s="2" t="s">
        <v>69</v>
      </c>
      <c r="C270" s="2" t="str">
        <f>VLOOKUP(B270,D.ファイターリスト!$B$5:$C$86,2,FALSE)</f>
        <v>ソラ</v>
      </c>
      <c r="D270" s="2">
        <v>22</v>
      </c>
      <c r="E270" s="2" t="s">
        <v>11</v>
      </c>
      <c r="F270" s="2" t="str">
        <f>VLOOKUP(E270,D.ファイターリスト!$B$5:$C$86,2,FALSE)</f>
        <v>ファルコ</v>
      </c>
      <c r="G270" s="2">
        <v>0</v>
      </c>
      <c r="H270" s="2">
        <v>0</v>
      </c>
      <c r="I270" s="33"/>
    </row>
    <row r="271" spans="1:9" x14ac:dyDescent="0.45">
      <c r="A271" s="2">
        <v>86</v>
      </c>
      <c r="B271" s="2" t="s">
        <v>69</v>
      </c>
      <c r="C271" s="2" t="str">
        <f>VLOOKUP(B271,D.ファイターリスト!$B$5:$C$86,2,FALSE)</f>
        <v>ソラ</v>
      </c>
      <c r="D271" s="2">
        <v>23</v>
      </c>
      <c r="E271" s="2" t="s">
        <v>12</v>
      </c>
      <c r="F271" s="2" t="str">
        <f>VLOOKUP(E271,D.ファイターリスト!$B$5:$C$86,2,FALSE)</f>
        <v>マルス</v>
      </c>
      <c r="G271" s="2">
        <v>1</v>
      </c>
      <c r="H271" s="2">
        <v>0</v>
      </c>
      <c r="I271" s="34"/>
    </row>
    <row r="272" spans="1:9" x14ac:dyDescent="0.45">
      <c r="A272" s="2">
        <v>86</v>
      </c>
      <c r="B272" s="2" t="s">
        <v>69</v>
      </c>
      <c r="C272" s="2" t="str">
        <f>VLOOKUP(B272,D.ファイターリスト!$B$5:$C$86,2,FALSE)</f>
        <v>ソラ</v>
      </c>
      <c r="D272" s="2">
        <v>24</v>
      </c>
      <c r="E272" s="2" t="s">
        <v>13</v>
      </c>
      <c r="F272" s="2" t="str">
        <f>VLOOKUP(E272,D.ファイターリスト!$B$5:$C$86,2,FALSE)</f>
        <v>ルキナ</v>
      </c>
      <c r="G272" s="2">
        <v>0</v>
      </c>
      <c r="H272" s="2">
        <v>0</v>
      </c>
      <c r="I272" s="33"/>
    </row>
    <row r="273" spans="1:9" x14ac:dyDescent="0.45">
      <c r="A273" s="2">
        <v>86</v>
      </c>
      <c r="B273" s="2" t="s">
        <v>69</v>
      </c>
      <c r="C273" s="2" t="str">
        <f>VLOOKUP(B273,D.ファイターリスト!$B$5:$C$86,2,FALSE)</f>
        <v>ソラ</v>
      </c>
      <c r="D273" s="2">
        <v>25</v>
      </c>
      <c r="E273" s="2" t="s">
        <v>14</v>
      </c>
      <c r="F273" s="2" t="str">
        <f>VLOOKUP(E273,D.ファイターリスト!$B$5:$C$86,2,FALSE)</f>
        <v>ヤンリン</v>
      </c>
      <c r="G273" s="2">
        <v>0</v>
      </c>
      <c r="H273" s="2">
        <v>1</v>
      </c>
      <c r="I273" s="33"/>
    </row>
    <row r="274" spans="1:9" x14ac:dyDescent="0.45">
      <c r="A274" s="2">
        <v>86</v>
      </c>
      <c r="B274" s="2" t="s">
        <v>69</v>
      </c>
      <c r="C274" s="2" t="str">
        <f>VLOOKUP(B274,D.ファイターリスト!$B$5:$C$86,2,FALSE)</f>
        <v>ソラ</v>
      </c>
      <c r="D274" s="2">
        <v>26</v>
      </c>
      <c r="E274" s="2" t="s">
        <v>15</v>
      </c>
      <c r="F274" s="2" t="str">
        <f>VLOOKUP(E274,D.ファイターリスト!$B$5:$C$86,2,FALSE)</f>
        <v>ガノン</v>
      </c>
      <c r="G274" s="2">
        <v>2</v>
      </c>
      <c r="H274" s="2">
        <v>1</v>
      </c>
      <c r="I274" s="33"/>
    </row>
    <row r="275" spans="1:9" ht="57.6" x14ac:dyDescent="0.45">
      <c r="A275" s="2">
        <v>86</v>
      </c>
      <c r="B275" s="2" t="s">
        <v>69</v>
      </c>
      <c r="C275" s="2" t="str">
        <f>VLOOKUP(B275,D.ファイターリスト!$B$5:$C$86,2,FALSE)</f>
        <v>ソラ</v>
      </c>
      <c r="D275" s="2">
        <v>27</v>
      </c>
      <c r="E275" s="2" t="s">
        <v>130</v>
      </c>
      <c r="F275" s="2" t="str">
        <f>VLOOKUP(E275,D.ファイターリスト!$B$5:$C$86,2,FALSE)</f>
        <v>M2</v>
      </c>
      <c r="G275" s="2">
        <v>0</v>
      </c>
      <c r="H275" s="2">
        <v>1</v>
      </c>
      <c r="I275" s="33" t="s">
        <v>261</v>
      </c>
    </row>
    <row r="276" spans="1:9" x14ac:dyDescent="0.45">
      <c r="A276" s="2">
        <v>86</v>
      </c>
      <c r="B276" s="2" t="s">
        <v>69</v>
      </c>
      <c r="C276" s="2" t="str">
        <f>VLOOKUP(B276,D.ファイターリスト!$B$5:$C$86,2,FALSE)</f>
        <v>ソラ</v>
      </c>
      <c r="D276" s="2">
        <v>28</v>
      </c>
      <c r="E276" s="2" t="s">
        <v>16</v>
      </c>
      <c r="F276" s="2" t="str">
        <f>VLOOKUP(E276,D.ファイターリスト!$B$5:$C$86,2,FALSE)</f>
        <v>ロイ</v>
      </c>
      <c r="G276" s="2">
        <v>0</v>
      </c>
      <c r="H276" s="2">
        <v>0</v>
      </c>
      <c r="I276" s="34"/>
    </row>
    <row r="277" spans="1:9" ht="19.2" x14ac:dyDescent="0.45">
      <c r="A277" s="2">
        <v>86</v>
      </c>
      <c r="B277" s="2" t="s">
        <v>69</v>
      </c>
      <c r="C277" s="2" t="str">
        <f>VLOOKUP(B277,D.ファイターリスト!$B$5:$C$86,2,FALSE)</f>
        <v>ソラ</v>
      </c>
      <c r="D277" s="2">
        <v>29</v>
      </c>
      <c r="E277" s="2" t="s">
        <v>17</v>
      </c>
      <c r="F277" s="2" t="str">
        <f>VLOOKUP(E277,D.ファイターリスト!$B$5:$C$86,2,FALSE)</f>
        <v>クロム</v>
      </c>
      <c r="G277" s="2">
        <v>1</v>
      </c>
      <c r="H277" s="2">
        <v>0</v>
      </c>
      <c r="I277" s="33" t="s">
        <v>262</v>
      </c>
    </row>
    <row r="278" spans="1:9" x14ac:dyDescent="0.45">
      <c r="A278" s="2">
        <v>86</v>
      </c>
      <c r="B278" s="2" t="s">
        <v>69</v>
      </c>
      <c r="C278" s="2" t="str">
        <f>VLOOKUP(B278,D.ファイターリスト!$B$5:$C$86,2,FALSE)</f>
        <v>ソラ</v>
      </c>
      <c r="D278" s="2">
        <v>30</v>
      </c>
      <c r="E278" s="2" t="s">
        <v>132</v>
      </c>
      <c r="F278" s="2" t="str">
        <f>VLOOKUP(E278,D.ファイターリスト!$B$5:$C$86,2,FALSE)</f>
        <v>ゲッチ</v>
      </c>
      <c r="G278" s="2">
        <v>0</v>
      </c>
      <c r="H278" s="2">
        <v>0</v>
      </c>
      <c r="I278" s="33"/>
    </row>
    <row r="279" spans="1:9" x14ac:dyDescent="0.45">
      <c r="A279" s="2">
        <v>86</v>
      </c>
      <c r="B279" s="2" t="s">
        <v>69</v>
      </c>
      <c r="C279" s="2" t="str">
        <f>VLOOKUP(B279,D.ファイターリスト!$B$5:$C$86,2,FALSE)</f>
        <v>ソラ</v>
      </c>
      <c r="D279" s="2">
        <v>31</v>
      </c>
      <c r="E279" s="2" t="s">
        <v>18</v>
      </c>
      <c r="F279" s="2" t="str">
        <f>VLOOKUP(E279,D.ファイターリスト!$B$5:$C$86,2,FALSE)</f>
        <v>メタ</v>
      </c>
      <c r="G279" s="2">
        <v>0</v>
      </c>
      <c r="H279" s="2">
        <v>1</v>
      </c>
      <c r="I279" s="33"/>
    </row>
    <row r="280" spans="1:9" x14ac:dyDescent="0.45">
      <c r="A280" s="2">
        <v>86</v>
      </c>
      <c r="B280" s="2" t="s">
        <v>69</v>
      </c>
      <c r="C280" s="2" t="str">
        <f>VLOOKUP(B280,D.ファイターリスト!$B$5:$C$86,2,FALSE)</f>
        <v>ソラ</v>
      </c>
      <c r="D280" s="2">
        <v>32</v>
      </c>
      <c r="E280" s="2" t="s">
        <v>135</v>
      </c>
      <c r="F280" s="2" t="str">
        <f>VLOOKUP(E280,D.ファイターリスト!$B$5:$C$86,2,FALSE)</f>
        <v>ブラピ</v>
      </c>
      <c r="G280" s="2">
        <v>0</v>
      </c>
      <c r="H280" s="2">
        <v>0</v>
      </c>
      <c r="I280" s="33"/>
    </row>
    <row r="281" spans="1:9" x14ac:dyDescent="0.45">
      <c r="A281" s="2">
        <v>86</v>
      </c>
      <c r="B281" s="2" t="s">
        <v>69</v>
      </c>
      <c r="C281" s="2" t="str">
        <f>VLOOKUP(B281,D.ファイターリスト!$B$5:$C$86,2,FALSE)</f>
        <v>ソラ</v>
      </c>
      <c r="D281" s="2">
        <v>34</v>
      </c>
      <c r="E281" s="2" t="s">
        <v>19</v>
      </c>
      <c r="F281" s="2" t="str">
        <f>VLOOKUP(E281,D.ファイターリスト!$B$5:$C$86,2,FALSE)</f>
        <v>ゼロサム</v>
      </c>
      <c r="G281" s="2">
        <v>0</v>
      </c>
      <c r="H281" s="2">
        <v>0</v>
      </c>
      <c r="I281" s="34"/>
    </row>
    <row r="282" spans="1:9" x14ac:dyDescent="0.45">
      <c r="A282" s="2">
        <v>86</v>
      </c>
      <c r="B282" s="2" t="s">
        <v>69</v>
      </c>
      <c r="C282" s="2" t="str">
        <f>VLOOKUP(B282,D.ファイターリスト!$B$5:$C$86,2,FALSE)</f>
        <v>ソラ</v>
      </c>
      <c r="D282" s="2">
        <v>35</v>
      </c>
      <c r="E282" s="2" t="s">
        <v>20</v>
      </c>
      <c r="F282" s="2" t="str">
        <f>VLOOKUP(E282,D.ファイターリスト!$B$5:$C$86,2,FALSE)</f>
        <v>ワリオ</v>
      </c>
      <c r="G282" s="2">
        <v>0</v>
      </c>
      <c r="H282" s="2">
        <v>0</v>
      </c>
      <c r="I282" s="33"/>
    </row>
    <row r="283" spans="1:9" x14ac:dyDescent="0.45">
      <c r="A283" s="2">
        <v>86</v>
      </c>
      <c r="B283" s="2" t="s">
        <v>69</v>
      </c>
      <c r="C283" s="2" t="str">
        <f>VLOOKUP(B283,D.ファイターリスト!$B$5:$C$86,2,FALSE)</f>
        <v>ソラ</v>
      </c>
      <c r="D283" s="2">
        <v>36</v>
      </c>
      <c r="E283" s="2" t="s">
        <v>21</v>
      </c>
      <c r="F283" s="2" t="str">
        <f>VLOOKUP(E283,D.ファイターリスト!$B$5:$C$86,2,FALSE)</f>
        <v>スネーク</v>
      </c>
      <c r="G283" s="2">
        <v>1</v>
      </c>
      <c r="H283" s="2">
        <v>0</v>
      </c>
      <c r="I283" s="33"/>
    </row>
    <row r="284" spans="1:9" x14ac:dyDescent="0.45">
      <c r="A284" s="2">
        <v>86</v>
      </c>
      <c r="B284" s="2" t="s">
        <v>69</v>
      </c>
      <c r="C284" s="2" t="str">
        <f>VLOOKUP(B284,D.ファイターリスト!$B$5:$C$86,2,FALSE)</f>
        <v>ソラ</v>
      </c>
      <c r="D284" s="2">
        <v>37</v>
      </c>
      <c r="E284" s="2" t="s">
        <v>22</v>
      </c>
      <c r="F284" s="2" t="str">
        <f>VLOOKUP(E284,D.ファイターリスト!$B$5:$C$86,2,FALSE)</f>
        <v>アイクラ</v>
      </c>
      <c r="G284" s="2">
        <v>0</v>
      </c>
      <c r="H284" s="2">
        <v>0</v>
      </c>
      <c r="I284" s="33"/>
    </row>
    <row r="285" spans="1:9" x14ac:dyDescent="0.45">
      <c r="A285" s="2">
        <v>86</v>
      </c>
      <c r="B285" s="2" t="s">
        <v>69</v>
      </c>
      <c r="C285" s="2" t="str">
        <f>VLOOKUP(B285,D.ファイターリスト!$B$5:$C$86,2,FALSE)</f>
        <v>ソラ</v>
      </c>
      <c r="D285" s="2">
        <v>38</v>
      </c>
      <c r="E285" s="2" t="s">
        <v>23</v>
      </c>
      <c r="F285" s="2" t="str">
        <f>VLOOKUP(E285,D.ファイターリスト!$B$5:$C$86,2,FALSE)</f>
        <v>ポケトレ</v>
      </c>
      <c r="G285" s="2">
        <v>0</v>
      </c>
      <c r="H285" s="2">
        <v>0</v>
      </c>
      <c r="I285" s="34"/>
    </row>
    <row r="286" spans="1:9" x14ac:dyDescent="0.45">
      <c r="A286" s="2">
        <v>86</v>
      </c>
      <c r="B286" s="2" t="s">
        <v>69</v>
      </c>
      <c r="C286" s="2" t="str">
        <f>VLOOKUP(B286,D.ファイターリスト!$B$5:$C$86,2,FALSE)</f>
        <v>ソラ</v>
      </c>
      <c r="D286" s="2">
        <v>39</v>
      </c>
      <c r="E286" s="2" t="s">
        <v>24</v>
      </c>
      <c r="F286" s="2" t="str">
        <f>VLOOKUP(E286,D.ファイターリスト!$B$5:$C$86,2,FALSE)</f>
        <v>DD</v>
      </c>
      <c r="G286" s="2">
        <v>0</v>
      </c>
      <c r="H286" s="2">
        <v>0</v>
      </c>
      <c r="I286" s="33"/>
    </row>
    <row r="287" spans="1:9" x14ac:dyDescent="0.45">
      <c r="A287" s="2">
        <v>86</v>
      </c>
      <c r="B287" s="2" t="s">
        <v>69</v>
      </c>
      <c r="C287" s="2" t="str">
        <f>VLOOKUP(B287,D.ファイターリスト!$B$5:$C$86,2,FALSE)</f>
        <v>ソラ</v>
      </c>
      <c r="D287" s="2">
        <v>40</v>
      </c>
      <c r="E287" s="2" t="s">
        <v>25</v>
      </c>
      <c r="F287" s="2" t="str">
        <f>VLOOKUP(E287,D.ファイターリスト!$B$5:$C$86,2,FALSE)</f>
        <v>リュカ</v>
      </c>
      <c r="G287" s="2">
        <v>0</v>
      </c>
      <c r="H287" s="2">
        <v>0</v>
      </c>
      <c r="I287" s="33"/>
    </row>
    <row r="288" spans="1:9" x14ac:dyDescent="0.45">
      <c r="A288" s="2">
        <v>86</v>
      </c>
      <c r="B288" s="2" t="s">
        <v>69</v>
      </c>
      <c r="C288" s="2" t="str">
        <f>VLOOKUP(B288,D.ファイターリスト!$B$5:$C$86,2,FALSE)</f>
        <v>ソラ</v>
      </c>
      <c r="D288" s="2">
        <v>41</v>
      </c>
      <c r="E288" s="2" t="s">
        <v>26</v>
      </c>
      <c r="F288" s="2" t="str">
        <f>VLOOKUP(E288,D.ファイターリスト!$B$5:$C$86,2,FALSE)</f>
        <v>ソニック</v>
      </c>
      <c r="G288" s="2">
        <v>0</v>
      </c>
      <c r="H288" s="2">
        <v>0</v>
      </c>
      <c r="I288" s="33"/>
    </row>
    <row r="289" spans="1:9" x14ac:dyDescent="0.45">
      <c r="A289" s="2">
        <v>86</v>
      </c>
      <c r="B289" s="2" t="s">
        <v>69</v>
      </c>
      <c r="C289" s="2" t="str">
        <f>VLOOKUP(B289,D.ファイターリスト!$B$5:$C$86,2,FALSE)</f>
        <v>ソラ</v>
      </c>
      <c r="D289" s="2">
        <v>42</v>
      </c>
      <c r="E289" s="2" t="s">
        <v>27</v>
      </c>
      <c r="F289" s="2" t="str">
        <f>VLOOKUP(E289,D.ファイターリスト!$B$5:$C$86,2,FALSE)</f>
        <v>DDD</v>
      </c>
      <c r="G289" s="2">
        <v>2</v>
      </c>
      <c r="H289" s="2">
        <v>0</v>
      </c>
      <c r="I289" s="33"/>
    </row>
    <row r="290" spans="1:9" x14ac:dyDescent="0.45">
      <c r="A290" s="2">
        <v>86</v>
      </c>
      <c r="B290" s="2" t="s">
        <v>69</v>
      </c>
      <c r="C290" s="2" t="str">
        <f>VLOOKUP(B290,D.ファイターリスト!$B$5:$C$86,2,FALSE)</f>
        <v>ソラ</v>
      </c>
      <c r="D290" s="2">
        <v>43</v>
      </c>
      <c r="E290" s="2" t="s">
        <v>28</v>
      </c>
      <c r="F290" s="2" t="str">
        <f>VLOOKUP(E290,D.ファイターリスト!$B$5:$C$86,2,FALSE)</f>
        <v>ピクオリ</v>
      </c>
      <c r="G290" s="2">
        <v>0</v>
      </c>
      <c r="H290" s="2">
        <v>0</v>
      </c>
      <c r="I290" s="34"/>
    </row>
    <row r="291" spans="1:9" x14ac:dyDescent="0.45">
      <c r="A291" s="2">
        <v>86</v>
      </c>
      <c r="B291" s="2" t="s">
        <v>69</v>
      </c>
      <c r="C291" s="2" t="str">
        <f>VLOOKUP(B291,D.ファイターリスト!$B$5:$C$86,2,FALSE)</f>
        <v>ソラ</v>
      </c>
      <c r="D291" s="2">
        <v>44</v>
      </c>
      <c r="E291" s="2" t="s">
        <v>29</v>
      </c>
      <c r="F291" s="2" t="str">
        <f>VLOOKUP(E291,D.ファイターリスト!$B$5:$C$86,2,FALSE)</f>
        <v>ルカリオ</v>
      </c>
      <c r="G291" s="2">
        <v>0</v>
      </c>
      <c r="H291" s="2">
        <v>0</v>
      </c>
      <c r="I291" s="34"/>
    </row>
    <row r="292" spans="1:9" x14ac:dyDescent="0.45">
      <c r="A292" s="2">
        <v>86</v>
      </c>
      <c r="B292" s="2" t="s">
        <v>69</v>
      </c>
      <c r="C292" s="2" t="str">
        <f>VLOOKUP(B292,D.ファイターリスト!$B$5:$C$86,2,FALSE)</f>
        <v>ソラ</v>
      </c>
      <c r="D292" s="2">
        <v>45</v>
      </c>
      <c r="E292" s="2" t="s">
        <v>30</v>
      </c>
      <c r="F292" s="2" t="str">
        <f>VLOOKUP(E292,D.ファイターリスト!$B$5:$C$86,2,FALSE)</f>
        <v>ロボット</v>
      </c>
      <c r="G292" s="2">
        <v>0</v>
      </c>
      <c r="H292" s="2">
        <v>2</v>
      </c>
      <c r="I292" s="33"/>
    </row>
    <row r="293" spans="1:9" x14ac:dyDescent="0.45">
      <c r="A293" s="2">
        <v>86</v>
      </c>
      <c r="B293" s="2" t="s">
        <v>69</v>
      </c>
      <c r="C293" s="2" t="str">
        <f>VLOOKUP(B293,D.ファイターリスト!$B$5:$C$86,2,FALSE)</f>
        <v>ソラ</v>
      </c>
      <c r="D293" s="2">
        <v>46</v>
      </c>
      <c r="E293" s="2" t="s">
        <v>31</v>
      </c>
      <c r="F293" s="2" t="str">
        <f>VLOOKUP(E293,D.ファイターリスト!$B$5:$C$86,2,FALSE)</f>
        <v>トリン</v>
      </c>
      <c r="G293" s="2">
        <v>0</v>
      </c>
      <c r="H293" s="2">
        <v>0</v>
      </c>
      <c r="I293" s="34"/>
    </row>
    <row r="294" spans="1:9" x14ac:dyDescent="0.45">
      <c r="A294" s="2">
        <v>86</v>
      </c>
      <c r="B294" s="2" t="s">
        <v>69</v>
      </c>
      <c r="C294" s="2" t="str">
        <f>VLOOKUP(B294,D.ファイターリスト!$B$5:$C$86,2,FALSE)</f>
        <v>ソラ</v>
      </c>
      <c r="D294" s="2">
        <v>47</v>
      </c>
      <c r="E294" s="2" t="s">
        <v>32</v>
      </c>
      <c r="F294" s="2" t="str">
        <f>VLOOKUP(E294,D.ファイターリスト!$B$5:$C$86,2,FALSE)</f>
        <v>ウルフ</v>
      </c>
      <c r="G294" s="2">
        <v>0</v>
      </c>
      <c r="H294" s="2">
        <v>0</v>
      </c>
      <c r="I294" s="33"/>
    </row>
    <row r="295" spans="1:9" x14ac:dyDescent="0.45">
      <c r="A295" s="2">
        <v>86</v>
      </c>
      <c r="B295" s="2" t="s">
        <v>69</v>
      </c>
      <c r="C295" s="2" t="str">
        <f>VLOOKUP(B295,D.ファイターリスト!$B$5:$C$86,2,FALSE)</f>
        <v>ソラ</v>
      </c>
      <c r="D295" s="2">
        <v>48</v>
      </c>
      <c r="E295" s="2" t="s">
        <v>33</v>
      </c>
      <c r="F295" s="2" t="str">
        <f>VLOOKUP(E295,D.ファイターリスト!$B$5:$C$86,2,FALSE)</f>
        <v>むらびと</v>
      </c>
      <c r="G295" s="2">
        <v>0</v>
      </c>
      <c r="H295" s="2">
        <v>0</v>
      </c>
      <c r="I295" s="33"/>
    </row>
    <row r="296" spans="1:9" x14ac:dyDescent="0.45">
      <c r="A296" s="2">
        <v>86</v>
      </c>
      <c r="B296" s="2" t="s">
        <v>69</v>
      </c>
      <c r="C296" s="2" t="str">
        <f>VLOOKUP(B296,D.ファイターリスト!$B$5:$C$86,2,FALSE)</f>
        <v>ソラ</v>
      </c>
      <c r="D296" s="2">
        <v>49</v>
      </c>
      <c r="E296" s="2" t="s">
        <v>34</v>
      </c>
      <c r="F296" s="2" t="str">
        <f>VLOOKUP(E296,D.ファイターリスト!$B$5:$C$86,2,FALSE)</f>
        <v>岩</v>
      </c>
      <c r="G296" s="2">
        <v>0</v>
      </c>
      <c r="H296" s="2">
        <v>0</v>
      </c>
      <c r="I296" s="34"/>
    </row>
    <row r="297" spans="1:9" x14ac:dyDescent="0.45">
      <c r="A297" s="2">
        <v>86</v>
      </c>
      <c r="B297" s="2" t="s">
        <v>69</v>
      </c>
      <c r="C297" s="2" t="str">
        <f>VLOOKUP(B297,D.ファイターリスト!$B$5:$C$86,2,FALSE)</f>
        <v>ソラ</v>
      </c>
      <c r="D297" s="2">
        <v>50</v>
      </c>
      <c r="E297" s="2" t="s">
        <v>35</v>
      </c>
      <c r="F297" s="2" t="str">
        <f>VLOOKUP(E297,D.ファイターリスト!$B$5:$C$86,2,FALSE)</f>
        <v>フィットレ</v>
      </c>
      <c r="G297" s="2">
        <v>0</v>
      </c>
      <c r="H297" s="2">
        <v>0</v>
      </c>
      <c r="I297" s="34"/>
    </row>
    <row r="298" spans="1:9" x14ac:dyDescent="0.45">
      <c r="A298" s="2">
        <v>86</v>
      </c>
      <c r="B298" s="2" t="s">
        <v>69</v>
      </c>
      <c r="C298" s="2" t="str">
        <f>VLOOKUP(B298,D.ファイターリスト!$B$5:$C$86,2,FALSE)</f>
        <v>ソラ</v>
      </c>
      <c r="D298" s="2">
        <v>51</v>
      </c>
      <c r="E298" s="2" t="s">
        <v>36</v>
      </c>
      <c r="F298" s="2" t="str">
        <f>VLOOKUP(E298,D.ファイターリスト!$B$5:$C$86,2,FALSE)</f>
        <v>ロゼチコ</v>
      </c>
      <c r="G298" s="2">
        <v>0</v>
      </c>
      <c r="H298" s="2">
        <v>0</v>
      </c>
      <c r="I298" s="34"/>
    </row>
    <row r="299" spans="1:9" x14ac:dyDescent="0.45">
      <c r="A299" s="2">
        <v>86</v>
      </c>
      <c r="B299" s="2" t="s">
        <v>69</v>
      </c>
      <c r="C299" s="2" t="str">
        <f>VLOOKUP(B299,D.ファイターリスト!$B$5:$C$86,2,FALSE)</f>
        <v>ソラ</v>
      </c>
      <c r="D299" s="2">
        <v>52</v>
      </c>
      <c r="E299" s="2" t="s">
        <v>37</v>
      </c>
      <c r="F299" s="2" t="str">
        <f>VLOOKUP(E299,D.ファイターリスト!$B$5:$C$86,2,FALSE)</f>
        <v>リトマ</v>
      </c>
      <c r="G299" s="2">
        <v>0</v>
      </c>
      <c r="H299" s="2">
        <v>1</v>
      </c>
      <c r="I299" s="34"/>
    </row>
    <row r="300" spans="1:9" x14ac:dyDescent="0.45">
      <c r="A300" s="2">
        <v>86</v>
      </c>
      <c r="B300" s="2" t="s">
        <v>69</v>
      </c>
      <c r="C300" s="2" t="str">
        <f>VLOOKUP(B300,D.ファイターリスト!$B$5:$C$86,2,FALSE)</f>
        <v>ソラ</v>
      </c>
      <c r="D300" s="2">
        <v>53</v>
      </c>
      <c r="E300" s="2" t="s">
        <v>38</v>
      </c>
      <c r="F300" s="2" t="str">
        <f>VLOOKUP(E300,D.ファイターリスト!$B$5:$C$86,2,FALSE)</f>
        <v>ゲコ</v>
      </c>
      <c r="G300" s="2">
        <v>0</v>
      </c>
      <c r="H300" s="2">
        <v>2</v>
      </c>
      <c r="I300" s="33"/>
    </row>
    <row r="301" spans="1:9" x14ac:dyDescent="0.45">
      <c r="A301" s="2">
        <v>86</v>
      </c>
      <c r="B301" s="2" t="s">
        <v>69</v>
      </c>
      <c r="C301" s="2" t="str">
        <f>VLOOKUP(B301,D.ファイターリスト!$B$5:$C$86,2,FALSE)</f>
        <v>ソラ</v>
      </c>
      <c r="D301" s="2">
        <v>54</v>
      </c>
      <c r="E301" s="2" t="s">
        <v>39</v>
      </c>
      <c r="F301" s="2" t="str">
        <f>VLOOKUP(E301,D.ファイターリスト!$B$5:$C$86,2,FALSE)</f>
        <v>カクミ</v>
      </c>
      <c r="G301" s="2">
        <v>1</v>
      </c>
      <c r="H301" s="2">
        <v>1</v>
      </c>
      <c r="I301" s="34"/>
    </row>
    <row r="302" spans="1:9" x14ac:dyDescent="0.45">
      <c r="A302" s="2">
        <v>86</v>
      </c>
      <c r="B302" s="2" t="s">
        <v>69</v>
      </c>
      <c r="C302" s="2" t="str">
        <f>VLOOKUP(B302,D.ファイターリスト!$B$5:$C$86,2,FALSE)</f>
        <v>ソラ</v>
      </c>
      <c r="D302" s="2">
        <v>55</v>
      </c>
      <c r="E302" s="2" t="s">
        <v>40</v>
      </c>
      <c r="F302" s="2" t="str">
        <f>VLOOKUP(E302,D.ファイターリスト!$B$5:$C$86,2,FALSE)</f>
        <v>ケンミ</v>
      </c>
      <c r="G302" s="2">
        <v>0</v>
      </c>
      <c r="H302" s="2">
        <v>0</v>
      </c>
      <c r="I302" s="34"/>
    </row>
    <row r="303" spans="1:9" x14ac:dyDescent="0.45">
      <c r="A303" s="2">
        <v>86</v>
      </c>
      <c r="B303" s="2" t="s">
        <v>69</v>
      </c>
      <c r="C303" s="2" t="str">
        <f>VLOOKUP(B303,D.ファイターリスト!$B$5:$C$86,2,FALSE)</f>
        <v>ソラ</v>
      </c>
      <c r="D303" s="2">
        <v>56</v>
      </c>
      <c r="E303" s="2" t="s">
        <v>41</v>
      </c>
      <c r="F303" s="2" t="str">
        <f>VLOOKUP(E303,D.ファイターリスト!$B$5:$C$86,2,FALSE)</f>
        <v>シャゲミ</v>
      </c>
      <c r="G303" s="2">
        <v>0</v>
      </c>
      <c r="H303" s="2">
        <v>1</v>
      </c>
      <c r="I303" s="34"/>
    </row>
    <row r="304" spans="1:9" x14ac:dyDescent="0.45">
      <c r="A304" s="2">
        <v>86</v>
      </c>
      <c r="B304" s="2" t="s">
        <v>69</v>
      </c>
      <c r="C304" s="2" t="str">
        <f>VLOOKUP(B304,D.ファイターリスト!$B$5:$C$86,2,FALSE)</f>
        <v>ソラ</v>
      </c>
      <c r="D304" s="2">
        <v>57</v>
      </c>
      <c r="E304" s="2" t="s">
        <v>42</v>
      </c>
      <c r="F304" s="2" t="str">
        <f>VLOOKUP(E304,D.ファイターリスト!$B$5:$C$86,2,FALSE)</f>
        <v>パルテナ</v>
      </c>
      <c r="G304" s="2">
        <v>0</v>
      </c>
      <c r="H304" s="2">
        <v>1</v>
      </c>
      <c r="I304" s="33"/>
    </row>
    <row r="305" spans="1:9" x14ac:dyDescent="0.45">
      <c r="A305" s="2">
        <v>86</v>
      </c>
      <c r="B305" s="2" t="s">
        <v>69</v>
      </c>
      <c r="C305" s="2" t="str">
        <f>VLOOKUP(B305,D.ファイターリスト!$B$5:$C$86,2,FALSE)</f>
        <v>ソラ</v>
      </c>
      <c r="D305" s="2">
        <v>58</v>
      </c>
      <c r="E305" s="2" t="s">
        <v>43</v>
      </c>
      <c r="F305" s="2" t="str">
        <f>VLOOKUP(E305,D.ファイターリスト!$B$5:$C$86,2,FALSE)</f>
        <v>金玉</v>
      </c>
      <c r="G305" s="2">
        <v>0</v>
      </c>
      <c r="H305" s="2">
        <v>0</v>
      </c>
      <c r="I305" s="34"/>
    </row>
    <row r="306" spans="1:9" x14ac:dyDescent="0.45">
      <c r="A306" s="2">
        <v>86</v>
      </c>
      <c r="B306" s="2" t="s">
        <v>69</v>
      </c>
      <c r="C306" s="2" t="str">
        <f>VLOOKUP(B306,D.ファイターリスト!$B$5:$C$86,2,FALSE)</f>
        <v>ソラ</v>
      </c>
      <c r="D306" s="2">
        <v>59</v>
      </c>
      <c r="E306" s="2" t="s">
        <v>44</v>
      </c>
      <c r="F306" s="2" t="str">
        <f>VLOOKUP(E306,D.ファイターリスト!$B$5:$C$86,2,FALSE)</f>
        <v>ルフレ</v>
      </c>
      <c r="G306" s="2">
        <v>1</v>
      </c>
      <c r="H306" s="2">
        <v>1</v>
      </c>
      <c r="I306" s="34"/>
    </row>
    <row r="307" spans="1:9" x14ac:dyDescent="0.45">
      <c r="A307" s="2">
        <v>86</v>
      </c>
      <c r="B307" s="2" t="s">
        <v>69</v>
      </c>
      <c r="C307" s="2" t="str">
        <f>VLOOKUP(B307,D.ファイターリスト!$B$5:$C$86,2,FALSE)</f>
        <v>ソラ</v>
      </c>
      <c r="D307" s="2">
        <v>60</v>
      </c>
      <c r="E307" s="2" t="s">
        <v>45</v>
      </c>
      <c r="F307" s="2" t="str">
        <f>VLOOKUP(E307,D.ファイターリスト!$B$5:$C$86,2,FALSE)</f>
        <v>手越</v>
      </c>
      <c r="G307" s="2">
        <v>0</v>
      </c>
      <c r="H307" s="2">
        <v>0</v>
      </c>
      <c r="I307" s="34"/>
    </row>
    <row r="308" spans="1:9" x14ac:dyDescent="0.45">
      <c r="A308" s="2">
        <v>86</v>
      </c>
      <c r="B308" s="2" t="s">
        <v>69</v>
      </c>
      <c r="C308" s="2" t="str">
        <f>VLOOKUP(B308,D.ファイターリスト!$B$5:$C$86,2,FALSE)</f>
        <v>ソラ</v>
      </c>
      <c r="D308" s="2">
        <v>61</v>
      </c>
      <c r="E308" s="2" t="s">
        <v>46</v>
      </c>
      <c r="F308" s="2" t="str">
        <f>VLOOKUP(E308,D.ファイターリスト!$B$5:$C$86,2,FALSE)</f>
        <v>パジュニ</v>
      </c>
      <c r="G308" s="2">
        <v>0</v>
      </c>
      <c r="H308" s="2">
        <v>0</v>
      </c>
      <c r="I308" s="33"/>
    </row>
    <row r="309" spans="1:9" x14ac:dyDescent="0.45">
      <c r="A309" s="2">
        <v>86</v>
      </c>
      <c r="B309" s="2" t="s">
        <v>69</v>
      </c>
      <c r="C309" s="2" t="str">
        <f>VLOOKUP(B309,D.ファイターリスト!$B$5:$C$86,2,FALSE)</f>
        <v>ソラ</v>
      </c>
      <c r="D309" s="2">
        <v>62</v>
      </c>
      <c r="E309" s="2" t="s">
        <v>47</v>
      </c>
      <c r="F309" s="2" t="str">
        <f>VLOOKUP(E309,D.ファイターリスト!$B$5:$C$86,2,FALSE)</f>
        <v>犬</v>
      </c>
      <c r="G309" s="2">
        <v>0</v>
      </c>
      <c r="H309" s="2">
        <v>0</v>
      </c>
      <c r="I309" s="33"/>
    </row>
    <row r="310" spans="1:9" x14ac:dyDescent="0.45">
      <c r="A310" s="2">
        <v>86</v>
      </c>
      <c r="B310" s="2" t="s">
        <v>69</v>
      </c>
      <c r="C310" s="2" t="str">
        <f>VLOOKUP(B310,D.ファイターリスト!$B$5:$C$86,2,FALSE)</f>
        <v>ソラ</v>
      </c>
      <c r="D310" s="2">
        <v>63</v>
      </c>
      <c r="E310" s="2" t="s">
        <v>48</v>
      </c>
      <c r="F310" s="2" t="str">
        <f>VLOOKUP(E310,D.ファイターリスト!$B$5:$C$86,2,FALSE)</f>
        <v>リュウ</v>
      </c>
      <c r="G310" s="2">
        <v>1</v>
      </c>
      <c r="H310" s="2">
        <v>0</v>
      </c>
      <c r="I310" s="33"/>
    </row>
    <row r="311" spans="1:9" x14ac:dyDescent="0.45">
      <c r="A311" s="2">
        <v>86</v>
      </c>
      <c r="B311" s="2" t="s">
        <v>69</v>
      </c>
      <c r="C311" s="2" t="str">
        <f>VLOOKUP(B311,D.ファイターリスト!$B$5:$C$86,2,FALSE)</f>
        <v>ソラ</v>
      </c>
      <c r="D311" s="2">
        <v>64</v>
      </c>
      <c r="E311" s="2" t="s">
        <v>49</v>
      </c>
      <c r="F311" s="2" t="str">
        <f>VLOOKUP(E311,D.ファイターリスト!$B$5:$C$86,2,FALSE)</f>
        <v>剣</v>
      </c>
      <c r="G311" s="2">
        <v>1</v>
      </c>
      <c r="H311" s="2">
        <v>0</v>
      </c>
      <c r="I311" s="33"/>
    </row>
    <row r="312" spans="1:9" ht="28.8" x14ac:dyDescent="0.45">
      <c r="A312" s="2">
        <v>86</v>
      </c>
      <c r="B312" s="2" t="s">
        <v>69</v>
      </c>
      <c r="C312" s="2" t="str">
        <f>VLOOKUP(B312,D.ファイターリスト!$B$5:$C$86,2,FALSE)</f>
        <v>ソラ</v>
      </c>
      <c r="D312" s="2">
        <v>65</v>
      </c>
      <c r="E312" s="2" t="s">
        <v>50</v>
      </c>
      <c r="F312" s="2" t="str">
        <f>VLOOKUP(E312,D.ファイターリスト!$B$5:$C$86,2,FALSE)</f>
        <v>クラウド</v>
      </c>
      <c r="G312" s="2">
        <v>0</v>
      </c>
      <c r="H312" s="2">
        <v>1</v>
      </c>
      <c r="I312" s="33" t="s">
        <v>263</v>
      </c>
    </row>
    <row r="313" spans="1:9" x14ac:dyDescent="0.45">
      <c r="A313" s="2">
        <v>86</v>
      </c>
      <c r="B313" s="2" t="s">
        <v>69</v>
      </c>
      <c r="C313" s="2" t="str">
        <f>VLOOKUP(B313,D.ファイターリスト!$B$5:$C$86,2,FALSE)</f>
        <v>ソラ</v>
      </c>
      <c r="D313" s="2">
        <v>66</v>
      </c>
      <c r="E313" s="2" t="s">
        <v>51</v>
      </c>
      <c r="F313" s="2" t="str">
        <f>VLOOKUP(E313,D.ファイターリスト!$B$5:$C$86,2,FALSE)</f>
        <v>カムイ</v>
      </c>
      <c r="G313" s="2">
        <v>0</v>
      </c>
      <c r="H313" s="2">
        <v>0</v>
      </c>
      <c r="I313" s="33"/>
    </row>
    <row r="314" spans="1:9" x14ac:dyDescent="0.45">
      <c r="A314" s="2">
        <v>86</v>
      </c>
      <c r="B314" s="2" t="s">
        <v>69</v>
      </c>
      <c r="C314" s="2" t="str">
        <f>VLOOKUP(B314,D.ファイターリスト!$B$5:$C$86,2,FALSE)</f>
        <v>ソラ</v>
      </c>
      <c r="D314" s="2">
        <v>67</v>
      </c>
      <c r="E314" s="2" t="s">
        <v>52</v>
      </c>
      <c r="F314" s="2" t="str">
        <f>VLOOKUP(E314,D.ファイターリスト!$B$5:$C$86,2,FALSE)</f>
        <v>ベヨネッタ</v>
      </c>
      <c r="G314" s="2">
        <v>1</v>
      </c>
      <c r="H314" s="2">
        <v>0</v>
      </c>
      <c r="I314" s="33"/>
    </row>
    <row r="315" spans="1:9" x14ac:dyDescent="0.45">
      <c r="A315" s="2">
        <v>86</v>
      </c>
      <c r="B315" s="2" t="s">
        <v>69</v>
      </c>
      <c r="C315" s="2" t="str">
        <f>VLOOKUP(B315,D.ファイターリスト!$B$5:$C$86,2,FALSE)</f>
        <v>ソラ</v>
      </c>
      <c r="D315" s="2">
        <v>68</v>
      </c>
      <c r="E315" s="2" t="s">
        <v>53</v>
      </c>
      <c r="F315" s="2" t="str">
        <f>VLOOKUP(E315,D.ファイターリスト!$B$5:$C$86,2,FALSE)</f>
        <v>イカ</v>
      </c>
      <c r="G315" s="2">
        <v>1</v>
      </c>
      <c r="H315" s="2">
        <v>0</v>
      </c>
      <c r="I315" s="34"/>
    </row>
    <row r="316" spans="1:9" x14ac:dyDescent="0.45">
      <c r="A316" s="2">
        <v>86</v>
      </c>
      <c r="B316" s="2" t="s">
        <v>69</v>
      </c>
      <c r="C316" s="2" t="str">
        <f>VLOOKUP(B316,D.ファイターリスト!$B$5:$C$86,2,FALSE)</f>
        <v>ソラ</v>
      </c>
      <c r="D316" s="2">
        <v>69</v>
      </c>
      <c r="E316" s="2" t="s">
        <v>54</v>
      </c>
      <c r="F316" s="2" t="str">
        <f>VLOOKUP(E316,D.ファイターリスト!$B$5:$C$86,2,FALSE)</f>
        <v>リドリー</v>
      </c>
      <c r="G316" s="2">
        <v>1</v>
      </c>
      <c r="H316" s="2">
        <v>0</v>
      </c>
      <c r="I316" s="33"/>
    </row>
    <row r="317" spans="1:9" x14ac:dyDescent="0.45">
      <c r="A317" s="2">
        <v>86</v>
      </c>
      <c r="B317" s="2" t="s">
        <v>69</v>
      </c>
      <c r="C317" s="2" t="str">
        <f>VLOOKUP(B317,D.ファイターリスト!$B$5:$C$86,2,FALSE)</f>
        <v>ソラ</v>
      </c>
      <c r="D317" s="2">
        <v>70</v>
      </c>
      <c r="E317" s="2" t="s">
        <v>151</v>
      </c>
      <c r="F317" s="2" t="str">
        <f>VLOOKUP(E317,D.ファイターリスト!$B$5:$C$86,2,FALSE)</f>
        <v>シモリヒ</v>
      </c>
      <c r="G317" s="2">
        <v>0</v>
      </c>
      <c r="H317" s="2">
        <v>0</v>
      </c>
      <c r="I317" s="33"/>
    </row>
    <row r="318" spans="1:9" x14ac:dyDescent="0.45">
      <c r="A318" s="2">
        <v>86</v>
      </c>
      <c r="B318" s="2" t="s">
        <v>69</v>
      </c>
      <c r="C318" s="2" t="str">
        <f>VLOOKUP(B318,D.ファイターリスト!$B$5:$C$86,2,FALSE)</f>
        <v>ソラ</v>
      </c>
      <c r="D318" s="2">
        <v>72</v>
      </c>
      <c r="E318" s="2" t="s">
        <v>55</v>
      </c>
      <c r="F318" s="2" t="str">
        <f>VLOOKUP(E318,D.ファイターリスト!$B$5:$C$86,2,FALSE)</f>
        <v>キンクル</v>
      </c>
      <c r="G318" s="2">
        <v>1</v>
      </c>
      <c r="H318" s="2">
        <v>0</v>
      </c>
      <c r="I318" s="33"/>
    </row>
    <row r="319" spans="1:9" x14ac:dyDescent="0.45">
      <c r="A319" s="2">
        <v>86</v>
      </c>
      <c r="B319" s="2" t="s">
        <v>69</v>
      </c>
      <c r="C319" s="2" t="str">
        <f>VLOOKUP(B319,D.ファイターリスト!$B$5:$C$86,2,FALSE)</f>
        <v>ソラ</v>
      </c>
      <c r="D319" s="2">
        <v>73</v>
      </c>
      <c r="E319" s="2" t="s">
        <v>56</v>
      </c>
      <c r="F319" s="2" t="str">
        <f>VLOOKUP(E319,D.ファイターリスト!$B$5:$C$86,2,FALSE)</f>
        <v>しずえ</v>
      </c>
      <c r="G319" s="2">
        <v>0</v>
      </c>
      <c r="H319" s="2">
        <v>0</v>
      </c>
      <c r="I319" s="33"/>
    </row>
    <row r="320" spans="1:9" x14ac:dyDescent="0.45">
      <c r="A320" s="2">
        <v>86</v>
      </c>
      <c r="B320" s="2" t="s">
        <v>69</v>
      </c>
      <c r="C320" s="2" t="str">
        <f>VLOOKUP(B320,D.ファイターリスト!$B$5:$C$86,2,FALSE)</f>
        <v>ソラ</v>
      </c>
      <c r="D320" s="2">
        <v>74</v>
      </c>
      <c r="E320" s="2" t="s">
        <v>57</v>
      </c>
      <c r="F320" s="2" t="str">
        <f>VLOOKUP(E320,D.ファイターリスト!$B$5:$C$86,2,FALSE)</f>
        <v>ガエン</v>
      </c>
      <c r="G320" s="2">
        <v>0</v>
      </c>
      <c r="H320" s="2">
        <v>0</v>
      </c>
      <c r="I320" s="33"/>
    </row>
    <row r="321" spans="1:9" x14ac:dyDescent="0.45">
      <c r="A321" s="2">
        <v>86</v>
      </c>
      <c r="B321" s="2" t="s">
        <v>69</v>
      </c>
      <c r="C321" s="2" t="str">
        <f>VLOOKUP(B321,D.ファイターリスト!$B$5:$C$86,2,FALSE)</f>
        <v>ソラ</v>
      </c>
      <c r="D321" s="2">
        <v>75</v>
      </c>
      <c r="E321" s="2" t="s">
        <v>58</v>
      </c>
      <c r="F321" s="2" t="str">
        <f>VLOOKUP(E321,D.ファイターリスト!$B$5:$C$86,2,FALSE)</f>
        <v>草</v>
      </c>
      <c r="G321" s="2">
        <v>0</v>
      </c>
      <c r="H321" s="2">
        <v>0</v>
      </c>
      <c r="I321" s="34"/>
    </row>
    <row r="322" spans="1:9" x14ac:dyDescent="0.45">
      <c r="A322" s="2">
        <v>86</v>
      </c>
      <c r="B322" s="2" t="s">
        <v>69</v>
      </c>
      <c r="C322" s="2" t="str">
        <f>VLOOKUP(B322,D.ファイターリスト!$B$5:$C$86,2,FALSE)</f>
        <v>ソラ</v>
      </c>
      <c r="D322" s="2">
        <v>76</v>
      </c>
      <c r="E322" s="2" t="s">
        <v>59</v>
      </c>
      <c r="F322" s="2" t="str">
        <f>VLOOKUP(E322,D.ファイターリスト!$B$5:$C$86,2,FALSE)</f>
        <v>J</v>
      </c>
      <c r="G322" s="2">
        <v>0</v>
      </c>
      <c r="H322" s="2">
        <v>1</v>
      </c>
      <c r="I322" s="33"/>
    </row>
    <row r="323" spans="1:9" ht="28.8" x14ac:dyDescent="0.45">
      <c r="A323" s="2">
        <v>86</v>
      </c>
      <c r="B323" s="2" t="s">
        <v>69</v>
      </c>
      <c r="C323" s="2" t="str">
        <f>VLOOKUP(B323,D.ファイターリスト!$B$5:$C$86,2,FALSE)</f>
        <v>ソラ</v>
      </c>
      <c r="D323" s="2">
        <v>77</v>
      </c>
      <c r="E323" s="2" t="s">
        <v>60</v>
      </c>
      <c r="F323" s="2" t="str">
        <f>VLOOKUP(E323,D.ファイターリスト!$B$5:$C$86,2,FALSE)</f>
        <v>勇者</v>
      </c>
      <c r="G323" s="2">
        <v>2</v>
      </c>
      <c r="H323" s="2">
        <v>3</v>
      </c>
      <c r="I323" s="33" t="s">
        <v>264</v>
      </c>
    </row>
    <row r="324" spans="1:9" x14ac:dyDescent="0.45">
      <c r="A324" s="2">
        <v>86</v>
      </c>
      <c r="B324" s="2" t="s">
        <v>69</v>
      </c>
      <c r="C324" s="2" t="str">
        <f>VLOOKUP(B324,D.ファイターリスト!$B$5:$C$86,2,FALSE)</f>
        <v>ソラ</v>
      </c>
      <c r="D324" s="2">
        <v>78</v>
      </c>
      <c r="E324" s="2" t="s">
        <v>61</v>
      </c>
      <c r="F324" s="2" t="str">
        <f>VLOOKUP(E324,D.ファイターリスト!$B$5:$C$86,2,FALSE)</f>
        <v>バンカズ</v>
      </c>
      <c r="G324" s="2">
        <v>0</v>
      </c>
      <c r="H324" s="2">
        <v>0</v>
      </c>
      <c r="I324" s="34"/>
    </row>
    <row r="325" spans="1:9" x14ac:dyDescent="0.45">
      <c r="A325" s="2">
        <v>86</v>
      </c>
      <c r="B325" s="2" t="s">
        <v>69</v>
      </c>
      <c r="C325" s="2" t="str">
        <f>VLOOKUP(B325,D.ファイターリスト!$B$5:$C$86,2,FALSE)</f>
        <v>ソラ</v>
      </c>
      <c r="D325" s="2">
        <v>79</v>
      </c>
      <c r="E325" s="2" t="s">
        <v>62</v>
      </c>
      <c r="F325" s="2" t="str">
        <f>VLOOKUP(E325,D.ファイターリスト!$B$5:$C$86,2,FALSE)</f>
        <v>テリー</v>
      </c>
      <c r="G325" s="2">
        <v>0</v>
      </c>
      <c r="H325" s="2">
        <v>0</v>
      </c>
      <c r="I325" s="33"/>
    </row>
    <row r="326" spans="1:9" x14ac:dyDescent="0.45">
      <c r="A326" s="2">
        <v>86</v>
      </c>
      <c r="B326" s="2" t="s">
        <v>69</v>
      </c>
      <c r="C326" s="2" t="str">
        <f>VLOOKUP(B326,D.ファイターリスト!$B$5:$C$86,2,FALSE)</f>
        <v>ソラ</v>
      </c>
      <c r="D326" s="2">
        <v>80</v>
      </c>
      <c r="E326" s="2" t="s">
        <v>63</v>
      </c>
      <c r="F326" s="2" t="str">
        <f>VLOOKUP(E326,D.ファイターリスト!$B$5:$C$86,2,FALSE)</f>
        <v>ベレトス</v>
      </c>
      <c r="G326" s="2">
        <v>0</v>
      </c>
      <c r="H326" s="2">
        <v>0</v>
      </c>
      <c r="I326" s="33"/>
    </row>
    <row r="327" spans="1:9" x14ac:dyDescent="0.45">
      <c r="A327" s="2">
        <v>86</v>
      </c>
      <c r="B327" s="2" t="s">
        <v>69</v>
      </c>
      <c r="C327" s="2" t="str">
        <f>VLOOKUP(B327,D.ファイターリスト!$B$5:$C$86,2,FALSE)</f>
        <v>ソラ</v>
      </c>
      <c r="D327" s="2">
        <v>81</v>
      </c>
      <c r="E327" s="2" t="s">
        <v>64</v>
      </c>
      <c r="F327" s="2" t="str">
        <f>VLOOKUP(E327,D.ファイターリスト!$B$5:$C$86,2,FALSE)</f>
        <v>メン</v>
      </c>
      <c r="G327" s="2">
        <v>0</v>
      </c>
      <c r="H327" s="2">
        <v>0</v>
      </c>
      <c r="I327" s="34"/>
    </row>
    <row r="328" spans="1:9" x14ac:dyDescent="0.45">
      <c r="A328" s="2">
        <v>86</v>
      </c>
      <c r="B328" s="2" t="s">
        <v>69</v>
      </c>
      <c r="C328" s="2" t="str">
        <f>VLOOKUP(B328,D.ファイターリスト!$B$5:$C$86,2,FALSE)</f>
        <v>ソラ</v>
      </c>
      <c r="D328" s="2">
        <v>82</v>
      </c>
      <c r="E328" s="2" t="s">
        <v>65</v>
      </c>
      <c r="F328" s="2" t="str">
        <f>VLOOKUP(E328,D.ファイターリスト!$B$5:$C$86,2,FALSE)</f>
        <v>スティーブ</v>
      </c>
      <c r="G328" s="2">
        <v>0</v>
      </c>
      <c r="H328" s="2">
        <v>0</v>
      </c>
      <c r="I328" s="33"/>
    </row>
    <row r="329" spans="1:9" x14ac:dyDescent="0.45">
      <c r="A329" s="2">
        <v>86</v>
      </c>
      <c r="B329" s="2" t="s">
        <v>69</v>
      </c>
      <c r="C329" s="2" t="str">
        <f>VLOOKUP(B329,D.ファイターリスト!$B$5:$C$86,2,FALSE)</f>
        <v>ソラ</v>
      </c>
      <c r="D329" s="2">
        <v>83</v>
      </c>
      <c r="E329" s="2" t="s">
        <v>66</v>
      </c>
      <c r="F329" s="2" t="str">
        <f>VLOOKUP(E329,D.ファイターリスト!$B$5:$C$86,2,FALSE)</f>
        <v>セフィロス</v>
      </c>
      <c r="G329" s="2">
        <v>0</v>
      </c>
      <c r="H329" s="2">
        <v>0</v>
      </c>
      <c r="I329" s="33"/>
    </row>
    <row r="330" spans="1:9" x14ac:dyDescent="0.45">
      <c r="A330" s="2">
        <v>86</v>
      </c>
      <c r="B330" s="2" t="s">
        <v>69</v>
      </c>
      <c r="C330" s="2" t="str">
        <f>VLOOKUP(B330,D.ファイターリスト!$B$5:$C$86,2,FALSE)</f>
        <v>ソラ</v>
      </c>
      <c r="D330" s="2">
        <v>84</v>
      </c>
      <c r="E330" s="2" t="s">
        <v>67</v>
      </c>
      <c r="F330" s="2" t="str">
        <f>VLOOKUP(E330,D.ファイターリスト!$B$5:$C$86,2,FALSE)</f>
        <v>ホムヒカ</v>
      </c>
      <c r="G330" s="2">
        <v>1</v>
      </c>
      <c r="H330" s="2">
        <v>1</v>
      </c>
      <c r="I330" s="33"/>
    </row>
    <row r="331" spans="1:9" x14ac:dyDescent="0.45">
      <c r="A331" s="2">
        <v>86</v>
      </c>
      <c r="B331" s="2" t="s">
        <v>69</v>
      </c>
      <c r="C331" s="2" t="str">
        <f>VLOOKUP(B331,D.ファイターリスト!$B$5:$C$86,2,FALSE)</f>
        <v>ソラ</v>
      </c>
      <c r="D331" s="2">
        <v>85</v>
      </c>
      <c r="E331" s="2" t="s">
        <v>68</v>
      </c>
      <c r="F331" s="2" t="str">
        <f>VLOOKUP(E331,D.ファイターリスト!$B$5:$C$86,2,FALSE)</f>
        <v>カズヤ</v>
      </c>
      <c r="G331" s="2">
        <v>2</v>
      </c>
      <c r="H331" s="2">
        <v>0</v>
      </c>
      <c r="I331" s="33"/>
    </row>
    <row r="332" spans="1:9" x14ac:dyDescent="0.45">
      <c r="A332" s="2">
        <v>86</v>
      </c>
      <c r="B332" s="2" t="s">
        <v>69</v>
      </c>
      <c r="C332" s="2" t="str">
        <f>VLOOKUP(B332,D.ファイターリスト!$B$5:$C$86,2,FALSE)</f>
        <v>ソラ</v>
      </c>
      <c r="D332" s="2">
        <v>86</v>
      </c>
      <c r="E332" s="2" t="s">
        <v>69</v>
      </c>
      <c r="F332" s="2" t="str">
        <f>VLOOKUP(E332,D.ファイターリスト!$B$5:$C$86,2,FALSE)</f>
        <v>ソラ</v>
      </c>
      <c r="G332" s="2">
        <v>2</v>
      </c>
      <c r="H332" s="2">
        <v>0</v>
      </c>
      <c r="I332" s="34" t="s">
        <v>265</v>
      </c>
    </row>
    <row r="333" spans="1:9" x14ac:dyDescent="0.45">
      <c r="A333" s="2">
        <v>57</v>
      </c>
      <c r="B333" s="2" t="s">
        <v>42</v>
      </c>
      <c r="C333" s="2" t="str">
        <f>VLOOKUP(B333,D.ファイターリスト!$B$5:$C$86,2,FALSE)</f>
        <v>パルテナ</v>
      </c>
      <c r="D333" s="2">
        <v>1</v>
      </c>
      <c r="E333" s="2" t="s">
        <v>70</v>
      </c>
      <c r="F333" s="2" t="str">
        <f>VLOOKUP(E333,D.ファイターリスト!$B$5:$C$86,2,FALSE)</f>
        <v>マリオ</v>
      </c>
      <c r="G333" s="2">
        <v>0</v>
      </c>
      <c r="H333" s="2">
        <v>1</v>
      </c>
      <c r="I333" s="2"/>
    </row>
    <row r="334" spans="1:9" x14ac:dyDescent="0.45">
      <c r="A334" s="2">
        <v>57</v>
      </c>
      <c r="B334" s="2" t="s">
        <v>42</v>
      </c>
      <c r="C334" s="2" t="str">
        <f>VLOOKUP(B334,D.ファイターリスト!$B$5:$C$86,2,FALSE)</f>
        <v>パルテナ</v>
      </c>
      <c r="D334" s="2">
        <v>2</v>
      </c>
      <c r="E334" s="2" t="s">
        <v>71</v>
      </c>
      <c r="F334" s="2" t="str">
        <f>VLOOKUP(E334,D.ファイターリスト!$B$5:$C$86,2,FALSE)</f>
        <v>DK</v>
      </c>
      <c r="G334" s="2">
        <v>0</v>
      </c>
      <c r="H334" s="2">
        <v>2</v>
      </c>
      <c r="I334" s="2"/>
    </row>
    <row r="335" spans="1:9" x14ac:dyDescent="0.45">
      <c r="A335" s="2">
        <v>57</v>
      </c>
      <c r="B335" s="2" t="s">
        <v>42</v>
      </c>
      <c r="C335" s="2" t="str">
        <f>VLOOKUP(B335,D.ファイターリスト!$B$5:$C$86,2,FALSE)</f>
        <v>パルテナ</v>
      </c>
      <c r="D335" s="2">
        <v>3</v>
      </c>
      <c r="E335" s="2" t="s">
        <v>72</v>
      </c>
      <c r="F335" s="2" t="str">
        <f>VLOOKUP(E335,D.ファイターリスト!$B$5:$C$86,2,FALSE)</f>
        <v>リンク</v>
      </c>
      <c r="G335" s="2">
        <v>0</v>
      </c>
      <c r="H335" s="2">
        <v>1</v>
      </c>
      <c r="I335" s="2"/>
    </row>
    <row r="336" spans="1:9" x14ac:dyDescent="0.45">
      <c r="A336" s="2">
        <v>57</v>
      </c>
      <c r="B336" s="2" t="s">
        <v>42</v>
      </c>
      <c r="C336" s="2" t="str">
        <f>VLOOKUP(B336,D.ファイターリスト!$B$5:$C$86,2,FALSE)</f>
        <v>パルテナ</v>
      </c>
      <c r="D336" s="2">
        <v>4</v>
      </c>
      <c r="E336" s="2" t="s">
        <v>114</v>
      </c>
      <c r="F336" s="2" t="str">
        <f>VLOOKUP(E336,D.ファイターリスト!$B$5:$C$86,2,FALSE)</f>
        <v>ダムス</v>
      </c>
      <c r="G336" s="2">
        <v>1</v>
      </c>
      <c r="H336" s="2">
        <v>1</v>
      </c>
      <c r="I336" s="2" t="s">
        <v>266</v>
      </c>
    </row>
    <row r="337" spans="1:9" x14ac:dyDescent="0.45">
      <c r="A337" s="2">
        <v>57</v>
      </c>
      <c r="B337" s="2" t="s">
        <v>42</v>
      </c>
      <c r="C337" s="2" t="str">
        <f>VLOOKUP(B337,D.ファイターリスト!$B$5:$C$86,2,FALSE)</f>
        <v>パルテナ</v>
      </c>
      <c r="D337" s="2">
        <v>6</v>
      </c>
      <c r="E337" s="2" t="s">
        <v>116</v>
      </c>
      <c r="F337" s="2" t="str">
        <f>VLOOKUP(E337,D.ファイターリスト!$B$5:$C$86,2,FALSE)</f>
        <v>ヨッシー</v>
      </c>
      <c r="G337" s="2">
        <v>0</v>
      </c>
      <c r="H337" s="2">
        <v>0</v>
      </c>
      <c r="I337" s="2"/>
    </row>
    <row r="338" spans="1:9" x14ac:dyDescent="0.45">
      <c r="A338" s="2">
        <v>57</v>
      </c>
      <c r="B338" s="2" t="s">
        <v>42</v>
      </c>
      <c r="C338" s="2" t="str">
        <f>VLOOKUP(B338,D.ファイターリスト!$B$5:$C$86,2,FALSE)</f>
        <v>パルテナ</v>
      </c>
      <c r="D338" s="2">
        <v>7</v>
      </c>
      <c r="E338" s="2" t="s">
        <v>73</v>
      </c>
      <c r="F338" s="2" t="str">
        <f>VLOOKUP(E338,D.ファイターリスト!$B$5:$C$86,2,FALSE)</f>
        <v>CB</v>
      </c>
      <c r="G338" s="2">
        <v>3</v>
      </c>
      <c r="H338" s="2">
        <v>0</v>
      </c>
      <c r="I338" s="2" t="s">
        <v>267</v>
      </c>
    </row>
    <row r="339" spans="1:9" x14ac:dyDescent="0.45">
      <c r="A339" s="2">
        <v>57</v>
      </c>
      <c r="B339" s="2" t="s">
        <v>42</v>
      </c>
      <c r="C339" s="2" t="str">
        <f>VLOOKUP(B339,D.ファイターリスト!$B$5:$C$86,2,FALSE)</f>
        <v>パルテナ</v>
      </c>
      <c r="D339" s="2">
        <v>8</v>
      </c>
      <c r="E339" s="2" t="s">
        <v>74</v>
      </c>
      <c r="F339" s="2" t="str">
        <f>VLOOKUP(E339,D.ファイターリスト!$B$5:$C$86,2,FALSE)</f>
        <v>FX</v>
      </c>
      <c r="G339" s="2">
        <v>0</v>
      </c>
      <c r="H339" s="2">
        <v>0</v>
      </c>
      <c r="I339" s="2"/>
    </row>
    <row r="340" spans="1:9" x14ac:dyDescent="0.45">
      <c r="A340" s="2">
        <v>57</v>
      </c>
      <c r="B340" s="2" t="s">
        <v>42</v>
      </c>
      <c r="C340" s="2" t="str">
        <f>VLOOKUP(B340,D.ファイターリスト!$B$5:$C$86,2,FALSE)</f>
        <v>パルテナ</v>
      </c>
      <c r="D340" s="2">
        <v>9</v>
      </c>
      <c r="E340" s="2" t="s">
        <v>75</v>
      </c>
      <c r="F340" s="2" t="str">
        <f>VLOOKUP(E340,D.ファイターリスト!$B$5:$C$86,2,FALSE)</f>
        <v>ピカ</v>
      </c>
      <c r="G340" s="2">
        <v>0</v>
      </c>
      <c r="H340" s="2">
        <v>1</v>
      </c>
      <c r="I340" s="2"/>
    </row>
    <row r="341" spans="1:9" x14ac:dyDescent="0.45">
      <c r="A341" s="2">
        <v>57</v>
      </c>
      <c r="B341" s="2" t="s">
        <v>42</v>
      </c>
      <c r="C341" s="2" t="str">
        <f>VLOOKUP(B341,D.ファイターリスト!$B$5:$C$86,2,FALSE)</f>
        <v>パルテナ</v>
      </c>
      <c r="D341" s="2">
        <v>10</v>
      </c>
      <c r="E341" s="2" t="s">
        <v>2</v>
      </c>
      <c r="F341" s="2" t="str">
        <f>VLOOKUP(E341,D.ファイターリスト!$B$5:$C$86,2,FALSE)</f>
        <v>L</v>
      </c>
      <c r="G341" s="2">
        <v>1</v>
      </c>
      <c r="H341" s="2">
        <v>0</v>
      </c>
      <c r="I341" s="2" t="s">
        <v>268</v>
      </c>
    </row>
    <row r="342" spans="1:9" x14ac:dyDescent="0.45">
      <c r="A342" s="2">
        <v>57</v>
      </c>
      <c r="B342" s="2" t="s">
        <v>42</v>
      </c>
      <c r="C342" s="2" t="str">
        <f>VLOOKUP(B342,D.ファイターリスト!$B$5:$C$86,2,FALSE)</f>
        <v>パルテナ</v>
      </c>
      <c r="D342" s="2">
        <v>11</v>
      </c>
      <c r="E342" s="2" t="s">
        <v>3</v>
      </c>
      <c r="F342" s="2" t="str">
        <f>VLOOKUP(E342,D.ファイターリスト!$B$5:$C$86,2,FALSE)</f>
        <v>ネス</v>
      </c>
      <c r="G342" s="2">
        <v>1</v>
      </c>
      <c r="H342" s="2">
        <v>0</v>
      </c>
      <c r="I342" s="2"/>
    </row>
    <row r="343" spans="1:9" x14ac:dyDescent="0.45">
      <c r="A343" s="2">
        <v>57</v>
      </c>
      <c r="B343" s="2" t="s">
        <v>42</v>
      </c>
      <c r="C343" s="2" t="str">
        <f>VLOOKUP(B343,D.ファイターリスト!$B$5:$C$86,2,FALSE)</f>
        <v>パルテナ</v>
      </c>
      <c r="D343" s="2">
        <v>12</v>
      </c>
      <c r="E343" s="2" t="s">
        <v>121</v>
      </c>
      <c r="F343" s="2" t="str">
        <f>VLOOKUP(E343,D.ファイターリスト!$B$5:$C$86,2,FALSE)</f>
        <v>CF</v>
      </c>
      <c r="G343" s="2">
        <v>0</v>
      </c>
      <c r="H343" s="2">
        <v>2</v>
      </c>
      <c r="I343" s="2"/>
    </row>
    <row r="344" spans="1:9" x14ac:dyDescent="0.45">
      <c r="A344" s="2">
        <v>57</v>
      </c>
      <c r="B344" s="2" t="s">
        <v>42</v>
      </c>
      <c r="C344" s="2" t="str">
        <f>VLOOKUP(B344,D.ファイターリスト!$B$5:$C$86,2,FALSE)</f>
        <v>パルテナ</v>
      </c>
      <c r="D344" s="2">
        <v>13</v>
      </c>
      <c r="E344" s="2" t="s">
        <v>4</v>
      </c>
      <c r="F344" s="2" t="str">
        <f>VLOOKUP(E344,D.ファイターリスト!$B$5:$C$86,2,FALSE)</f>
        <v>プリン</v>
      </c>
      <c r="G344" s="2">
        <v>0</v>
      </c>
      <c r="H344" s="2">
        <v>0</v>
      </c>
      <c r="I344" s="2"/>
    </row>
    <row r="345" spans="1:9" x14ac:dyDescent="0.45">
      <c r="A345" s="2">
        <v>57</v>
      </c>
      <c r="B345" s="2" t="s">
        <v>42</v>
      </c>
      <c r="C345" s="2" t="str">
        <f>VLOOKUP(B345,D.ファイターリスト!$B$5:$C$86,2,FALSE)</f>
        <v>パルテナ</v>
      </c>
      <c r="D345" s="2">
        <v>14</v>
      </c>
      <c r="E345" s="2" t="s">
        <v>123</v>
      </c>
      <c r="F345" s="2" t="str">
        <f>VLOOKUP(E345,D.ファイターリスト!$B$5:$C$86,2,FALSE)</f>
        <v>ピチデ</v>
      </c>
      <c r="G345" s="2">
        <v>0</v>
      </c>
      <c r="H345" s="2">
        <v>0</v>
      </c>
      <c r="I345" s="2"/>
    </row>
    <row r="346" spans="1:9" x14ac:dyDescent="0.45">
      <c r="A346" s="2">
        <v>57</v>
      </c>
      <c r="B346" s="2" t="s">
        <v>42</v>
      </c>
      <c r="C346" s="2" t="str">
        <f>VLOOKUP(B346,D.ファイターリスト!$B$5:$C$86,2,FALSE)</f>
        <v>パルテナ</v>
      </c>
      <c r="D346" s="2">
        <v>16</v>
      </c>
      <c r="E346" s="2" t="s">
        <v>5</v>
      </c>
      <c r="F346" s="2" t="str">
        <f>VLOOKUP(E346,D.ファイターリスト!$B$5:$C$86,2,FALSE)</f>
        <v>カメ</v>
      </c>
      <c r="G346" s="2">
        <v>0</v>
      </c>
      <c r="H346" s="2">
        <v>1</v>
      </c>
      <c r="I346" s="2"/>
    </row>
    <row r="347" spans="1:9" x14ac:dyDescent="0.45">
      <c r="A347" s="2">
        <v>57</v>
      </c>
      <c r="B347" s="2" t="s">
        <v>42</v>
      </c>
      <c r="C347" s="2" t="str">
        <f>VLOOKUP(B347,D.ファイターリスト!$B$5:$C$86,2,FALSE)</f>
        <v>パルテナ</v>
      </c>
      <c r="D347" s="2">
        <v>17</v>
      </c>
      <c r="E347" s="2" t="s">
        <v>6</v>
      </c>
      <c r="F347" s="2" t="str">
        <f>VLOOKUP(E347,D.ファイターリスト!$B$5:$C$86,2,FALSE)</f>
        <v>アイクラ</v>
      </c>
      <c r="G347" s="2">
        <v>0</v>
      </c>
      <c r="H347" s="2">
        <v>0</v>
      </c>
      <c r="I347" s="2"/>
    </row>
    <row r="348" spans="1:9" x14ac:dyDescent="0.45">
      <c r="A348" s="2">
        <v>57</v>
      </c>
      <c r="B348" s="2" t="s">
        <v>42</v>
      </c>
      <c r="C348" s="2" t="str">
        <f>VLOOKUP(B348,D.ファイターリスト!$B$5:$C$86,2,FALSE)</f>
        <v>パルテナ</v>
      </c>
      <c r="D348" s="2">
        <v>18</v>
      </c>
      <c r="E348" s="2" t="s">
        <v>7</v>
      </c>
      <c r="F348" s="2" t="str">
        <f>VLOOKUP(E348,D.ファイターリスト!$B$5:$C$86,2,FALSE)</f>
        <v>シーク</v>
      </c>
      <c r="G348" s="2">
        <v>0</v>
      </c>
      <c r="H348" s="2">
        <v>1</v>
      </c>
      <c r="I348" s="2" t="s">
        <v>269</v>
      </c>
    </row>
    <row r="349" spans="1:9" x14ac:dyDescent="0.45">
      <c r="A349" s="2">
        <v>57</v>
      </c>
      <c r="B349" s="2" t="s">
        <v>42</v>
      </c>
      <c r="C349" s="2" t="str">
        <f>VLOOKUP(B349,D.ファイターリスト!$B$5:$C$86,2,FALSE)</f>
        <v>パルテナ</v>
      </c>
      <c r="D349" s="2">
        <v>19</v>
      </c>
      <c r="E349" s="2" t="s">
        <v>8</v>
      </c>
      <c r="F349" s="2" t="str">
        <f>VLOOKUP(E349,D.ファイターリスト!$B$5:$C$86,2,FALSE)</f>
        <v>ゼルダ</v>
      </c>
      <c r="G349" s="2">
        <v>1</v>
      </c>
      <c r="H349" s="2">
        <v>0</v>
      </c>
      <c r="I349" s="2" t="s">
        <v>270</v>
      </c>
    </row>
    <row r="350" spans="1:9" x14ac:dyDescent="0.45">
      <c r="A350" s="2">
        <v>57</v>
      </c>
      <c r="B350" s="2" t="s">
        <v>42</v>
      </c>
      <c r="C350" s="2" t="str">
        <f>VLOOKUP(B350,D.ファイターリスト!$B$5:$C$86,2,FALSE)</f>
        <v>パルテナ</v>
      </c>
      <c r="D350" s="2">
        <v>20</v>
      </c>
      <c r="E350" s="2" t="s">
        <v>9</v>
      </c>
      <c r="F350" s="2" t="str">
        <f>VLOOKUP(E350,D.ファイターリスト!$B$5:$C$86,2,FALSE)</f>
        <v>ドクマリ</v>
      </c>
      <c r="G350" s="2">
        <v>0</v>
      </c>
      <c r="H350" s="2">
        <v>0</v>
      </c>
      <c r="I350" s="2"/>
    </row>
    <row r="351" spans="1:9" x14ac:dyDescent="0.45">
      <c r="A351" s="2">
        <v>57</v>
      </c>
      <c r="B351" s="2" t="s">
        <v>42</v>
      </c>
      <c r="C351" s="2" t="str">
        <f>VLOOKUP(B351,D.ファイターリスト!$B$5:$C$86,2,FALSE)</f>
        <v>パルテナ</v>
      </c>
      <c r="D351" s="2">
        <v>21</v>
      </c>
      <c r="E351" s="2" t="s">
        <v>10</v>
      </c>
      <c r="F351" s="2" t="str">
        <f>VLOOKUP(E351,D.ファイターリスト!$B$5:$C$86,2,FALSE)</f>
        <v>ピチュー</v>
      </c>
      <c r="G351" s="2">
        <v>0</v>
      </c>
      <c r="H351" s="2">
        <v>1</v>
      </c>
      <c r="I351" s="2"/>
    </row>
    <row r="352" spans="1:9" x14ac:dyDescent="0.45">
      <c r="A352" s="2">
        <v>57</v>
      </c>
      <c r="B352" s="2" t="s">
        <v>42</v>
      </c>
      <c r="C352" s="2" t="str">
        <f>VLOOKUP(B352,D.ファイターリスト!$B$5:$C$86,2,FALSE)</f>
        <v>パルテナ</v>
      </c>
      <c r="D352" s="2">
        <v>22</v>
      </c>
      <c r="E352" s="2" t="s">
        <v>11</v>
      </c>
      <c r="F352" s="2" t="str">
        <f>VLOOKUP(E352,D.ファイターリスト!$B$5:$C$86,2,FALSE)</f>
        <v>ファルコ</v>
      </c>
      <c r="G352" s="2">
        <v>1</v>
      </c>
      <c r="H352" s="2">
        <v>0</v>
      </c>
      <c r="I352" s="2" t="s">
        <v>271</v>
      </c>
    </row>
    <row r="353" spans="1:9" x14ac:dyDescent="0.45">
      <c r="A353" s="2">
        <v>57</v>
      </c>
      <c r="B353" s="2" t="s">
        <v>42</v>
      </c>
      <c r="C353" s="2" t="str">
        <f>VLOOKUP(B353,D.ファイターリスト!$B$5:$C$86,2,FALSE)</f>
        <v>パルテナ</v>
      </c>
      <c r="D353" s="2">
        <v>23</v>
      </c>
      <c r="E353" s="2" t="s">
        <v>12</v>
      </c>
      <c r="F353" s="2" t="str">
        <f>VLOOKUP(E353,D.ファイターリスト!$B$5:$C$86,2,FALSE)</f>
        <v>マルス</v>
      </c>
      <c r="G353" s="2">
        <v>0</v>
      </c>
      <c r="H353" s="2">
        <v>0</v>
      </c>
      <c r="I353" s="2"/>
    </row>
    <row r="354" spans="1:9" x14ac:dyDescent="0.45">
      <c r="A354" s="2">
        <v>57</v>
      </c>
      <c r="B354" s="2" t="s">
        <v>42</v>
      </c>
      <c r="C354" s="2" t="str">
        <f>VLOOKUP(B354,D.ファイターリスト!$B$5:$C$86,2,FALSE)</f>
        <v>パルテナ</v>
      </c>
      <c r="D354" s="2">
        <v>24</v>
      </c>
      <c r="E354" s="2" t="s">
        <v>13</v>
      </c>
      <c r="F354" s="2" t="str">
        <f>VLOOKUP(E354,D.ファイターリスト!$B$5:$C$86,2,FALSE)</f>
        <v>ルキナ</v>
      </c>
      <c r="G354" s="2">
        <v>0</v>
      </c>
      <c r="H354" s="2">
        <v>0</v>
      </c>
      <c r="I354" s="2"/>
    </row>
    <row r="355" spans="1:9" x14ac:dyDescent="0.45">
      <c r="A355" s="2">
        <v>57</v>
      </c>
      <c r="B355" s="2" t="s">
        <v>42</v>
      </c>
      <c r="C355" s="2" t="str">
        <f>VLOOKUP(B355,D.ファイターリスト!$B$5:$C$86,2,FALSE)</f>
        <v>パルテナ</v>
      </c>
      <c r="D355" s="2">
        <v>25</v>
      </c>
      <c r="E355" s="2" t="s">
        <v>14</v>
      </c>
      <c r="F355" s="2" t="str">
        <f>VLOOKUP(E355,D.ファイターリスト!$B$5:$C$86,2,FALSE)</f>
        <v>ヤンリン</v>
      </c>
      <c r="G355" s="2">
        <v>0</v>
      </c>
      <c r="H355" s="2">
        <v>0</v>
      </c>
      <c r="I355" s="2"/>
    </row>
    <row r="356" spans="1:9" x14ac:dyDescent="0.45">
      <c r="A356" s="2">
        <v>57</v>
      </c>
      <c r="B356" s="2" t="s">
        <v>42</v>
      </c>
      <c r="C356" s="2" t="str">
        <f>VLOOKUP(B356,D.ファイターリスト!$B$5:$C$86,2,FALSE)</f>
        <v>パルテナ</v>
      </c>
      <c r="D356" s="2">
        <v>26</v>
      </c>
      <c r="E356" s="2" t="s">
        <v>15</v>
      </c>
      <c r="F356" s="2" t="str">
        <f>VLOOKUP(E356,D.ファイターリスト!$B$5:$C$86,2,FALSE)</f>
        <v>ガノン</v>
      </c>
      <c r="G356" s="2">
        <v>2</v>
      </c>
      <c r="H356" s="2">
        <v>2</v>
      </c>
      <c r="I356" s="2"/>
    </row>
    <row r="357" spans="1:9" x14ac:dyDescent="0.45">
      <c r="A357" s="2">
        <v>57</v>
      </c>
      <c r="B357" s="2" t="s">
        <v>42</v>
      </c>
      <c r="C357" s="2" t="str">
        <f>VLOOKUP(B357,D.ファイターリスト!$B$5:$C$86,2,FALSE)</f>
        <v>パルテナ</v>
      </c>
      <c r="D357" s="2">
        <v>27</v>
      </c>
      <c r="E357" s="2" t="s">
        <v>130</v>
      </c>
      <c r="F357" s="2" t="str">
        <f>VLOOKUP(E357,D.ファイターリスト!$B$5:$C$86,2,FALSE)</f>
        <v>M2</v>
      </c>
      <c r="G357" s="2">
        <v>2</v>
      </c>
      <c r="H357" s="2">
        <v>0</v>
      </c>
      <c r="I357" s="2" t="s">
        <v>272</v>
      </c>
    </row>
    <row r="358" spans="1:9" x14ac:dyDescent="0.45">
      <c r="A358" s="2">
        <v>57</v>
      </c>
      <c r="B358" s="2" t="s">
        <v>42</v>
      </c>
      <c r="C358" s="2" t="str">
        <f>VLOOKUP(B358,D.ファイターリスト!$B$5:$C$86,2,FALSE)</f>
        <v>パルテナ</v>
      </c>
      <c r="D358" s="2">
        <v>28</v>
      </c>
      <c r="E358" s="2" t="s">
        <v>16</v>
      </c>
      <c r="F358" s="2" t="str">
        <f>VLOOKUP(E358,D.ファイターリスト!$B$5:$C$86,2,FALSE)</f>
        <v>ロイ</v>
      </c>
      <c r="G358" s="2">
        <v>0</v>
      </c>
      <c r="H358" s="2">
        <v>2</v>
      </c>
      <c r="I358" s="2"/>
    </row>
    <row r="359" spans="1:9" x14ac:dyDescent="0.45">
      <c r="A359" s="2">
        <v>57</v>
      </c>
      <c r="B359" s="2" t="s">
        <v>42</v>
      </c>
      <c r="C359" s="2" t="str">
        <f>VLOOKUP(B359,D.ファイターリスト!$B$5:$C$86,2,FALSE)</f>
        <v>パルテナ</v>
      </c>
      <c r="D359" s="2">
        <v>29</v>
      </c>
      <c r="E359" s="2" t="s">
        <v>17</v>
      </c>
      <c r="F359" s="2" t="str">
        <f>VLOOKUP(E359,D.ファイターリスト!$B$5:$C$86,2,FALSE)</f>
        <v>クロム</v>
      </c>
      <c r="G359" s="2">
        <v>1</v>
      </c>
      <c r="H359" s="2">
        <v>0</v>
      </c>
      <c r="I359" s="2" t="s">
        <v>273</v>
      </c>
    </row>
    <row r="360" spans="1:9" x14ac:dyDescent="0.45">
      <c r="A360" s="2">
        <v>57</v>
      </c>
      <c r="B360" s="2" t="s">
        <v>42</v>
      </c>
      <c r="C360" s="2" t="str">
        <f>VLOOKUP(B360,D.ファイターリスト!$B$5:$C$86,2,FALSE)</f>
        <v>パルテナ</v>
      </c>
      <c r="D360" s="2">
        <v>30</v>
      </c>
      <c r="E360" s="2" t="s">
        <v>132</v>
      </c>
      <c r="F360" s="2" t="str">
        <f>VLOOKUP(E360,D.ファイターリスト!$B$5:$C$86,2,FALSE)</f>
        <v>ゲッチ</v>
      </c>
      <c r="G360" s="2">
        <v>1</v>
      </c>
      <c r="H360" s="2">
        <v>0</v>
      </c>
      <c r="I360" s="2"/>
    </row>
    <row r="361" spans="1:9" x14ac:dyDescent="0.45">
      <c r="A361" s="2">
        <v>57</v>
      </c>
      <c r="B361" s="2" t="s">
        <v>42</v>
      </c>
      <c r="C361" s="2" t="str">
        <f>VLOOKUP(B361,D.ファイターリスト!$B$5:$C$86,2,FALSE)</f>
        <v>パルテナ</v>
      </c>
      <c r="D361" s="2">
        <v>31</v>
      </c>
      <c r="E361" s="2" t="s">
        <v>18</v>
      </c>
      <c r="F361" s="2" t="str">
        <f>VLOOKUP(E361,D.ファイターリスト!$B$5:$C$86,2,FALSE)</f>
        <v>メタ</v>
      </c>
      <c r="G361" s="2">
        <v>0</v>
      </c>
      <c r="H361" s="2">
        <v>0</v>
      </c>
      <c r="I361" s="2"/>
    </row>
    <row r="362" spans="1:9" x14ac:dyDescent="0.45">
      <c r="A362" s="2">
        <v>57</v>
      </c>
      <c r="B362" s="2" t="s">
        <v>42</v>
      </c>
      <c r="C362" s="2" t="str">
        <f>VLOOKUP(B362,D.ファイターリスト!$B$5:$C$86,2,FALSE)</f>
        <v>パルテナ</v>
      </c>
      <c r="D362" s="2">
        <v>32</v>
      </c>
      <c r="E362" s="2" t="s">
        <v>135</v>
      </c>
      <c r="F362" s="2" t="str">
        <f>VLOOKUP(E362,D.ファイターリスト!$B$5:$C$86,2,FALSE)</f>
        <v>ブラピ</v>
      </c>
      <c r="G362" s="2">
        <v>0</v>
      </c>
      <c r="H362" s="2">
        <v>0</v>
      </c>
      <c r="I362" s="2"/>
    </row>
    <row r="363" spans="1:9" x14ac:dyDescent="0.45">
      <c r="A363" s="2">
        <v>57</v>
      </c>
      <c r="B363" s="2" t="s">
        <v>42</v>
      </c>
      <c r="C363" s="2" t="str">
        <f>VLOOKUP(B363,D.ファイターリスト!$B$5:$C$86,2,FALSE)</f>
        <v>パルテナ</v>
      </c>
      <c r="D363" s="2">
        <v>34</v>
      </c>
      <c r="E363" s="2" t="s">
        <v>19</v>
      </c>
      <c r="F363" s="2" t="str">
        <f>VLOOKUP(E363,D.ファイターリスト!$B$5:$C$86,2,FALSE)</f>
        <v>ゼロサム</v>
      </c>
      <c r="G363" s="2">
        <v>0</v>
      </c>
      <c r="H363" s="2">
        <v>2</v>
      </c>
      <c r="I363" s="2"/>
    </row>
    <row r="364" spans="1:9" x14ac:dyDescent="0.45">
      <c r="A364" s="2">
        <v>57</v>
      </c>
      <c r="B364" s="2" t="s">
        <v>42</v>
      </c>
      <c r="C364" s="2" t="str">
        <f>VLOOKUP(B364,D.ファイターリスト!$B$5:$C$86,2,FALSE)</f>
        <v>パルテナ</v>
      </c>
      <c r="D364" s="2">
        <v>35</v>
      </c>
      <c r="E364" s="2" t="s">
        <v>20</v>
      </c>
      <c r="F364" s="2" t="str">
        <f>VLOOKUP(E364,D.ファイターリスト!$B$5:$C$86,2,FALSE)</f>
        <v>ワリオ</v>
      </c>
      <c r="G364" s="2">
        <v>0</v>
      </c>
      <c r="H364" s="2">
        <v>0</v>
      </c>
      <c r="I364" s="2"/>
    </row>
    <row r="365" spans="1:9" x14ac:dyDescent="0.45">
      <c r="A365" s="2">
        <v>57</v>
      </c>
      <c r="B365" s="2" t="s">
        <v>42</v>
      </c>
      <c r="C365" s="2" t="str">
        <f>VLOOKUP(B365,D.ファイターリスト!$B$5:$C$86,2,FALSE)</f>
        <v>パルテナ</v>
      </c>
      <c r="D365" s="2">
        <v>36</v>
      </c>
      <c r="E365" s="2" t="s">
        <v>21</v>
      </c>
      <c r="F365" s="2" t="str">
        <f>VLOOKUP(E365,D.ファイターリスト!$B$5:$C$86,2,FALSE)</f>
        <v>スネーク</v>
      </c>
      <c r="G365" s="2">
        <v>0</v>
      </c>
      <c r="H365" s="2">
        <v>0</v>
      </c>
      <c r="I365" s="2"/>
    </row>
    <row r="366" spans="1:9" x14ac:dyDescent="0.45">
      <c r="A366" s="2">
        <v>57</v>
      </c>
      <c r="B366" s="2" t="s">
        <v>42</v>
      </c>
      <c r="C366" s="2" t="str">
        <f>VLOOKUP(B366,D.ファイターリスト!$B$5:$C$86,2,FALSE)</f>
        <v>パルテナ</v>
      </c>
      <c r="D366" s="2">
        <v>37</v>
      </c>
      <c r="E366" s="2" t="s">
        <v>22</v>
      </c>
      <c r="F366" s="2" t="str">
        <f>VLOOKUP(E366,D.ファイターリスト!$B$5:$C$86,2,FALSE)</f>
        <v>アイクラ</v>
      </c>
      <c r="G366" s="2">
        <v>1</v>
      </c>
      <c r="H366" s="2">
        <v>0</v>
      </c>
      <c r="I366" s="2"/>
    </row>
    <row r="367" spans="1:9" x14ac:dyDescent="0.45">
      <c r="A367" s="2">
        <v>57</v>
      </c>
      <c r="B367" s="2" t="s">
        <v>42</v>
      </c>
      <c r="C367" s="2" t="str">
        <f>VLOOKUP(B367,D.ファイターリスト!$B$5:$C$86,2,FALSE)</f>
        <v>パルテナ</v>
      </c>
      <c r="D367" s="2">
        <v>38</v>
      </c>
      <c r="E367" s="2" t="s">
        <v>23</v>
      </c>
      <c r="F367" s="2" t="str">
        <f>VLOOKUP(E367,D.ファイターリスト!$B$5:$C$86,2,FALSE)</f>
        <v>ポケトレ</v>
      </c>
      <c r="G367" s="2">
        <v>0</v>
      </c>
      <c r="H367" s="2">
        <v>0</v>
      </c>
      <c r="I367" s="2"/>
    </row>
    <row r="368" spans="1:9" x14ac:dyDescent="0.45">
      <c r="A368" s="2">
        <v>57</v>
      </c>
      <c r="B368" s="2" t="s">
        <v>42</v>
      </c>
      <c r="C368" s="2" t="str">
        <f>VLOOKUP(B368,D.ファイターリスト!$B$5:$C$86,2,FALSE)</f>
        <v>パルテナ</v>
      </c>
      <c r="D368" s="2">
        <v>39</v>
      </c>
      <c r="E368" s="2" t="s">
        <v>24</v>
      </c>
      <c r="F368" s="2" t="str">
        <f>VLOOKUP(E368,D.ファイターリスト!$B$5:$C$86,2,FALSE)</f>
        <v>DD</v>
      </c>
      <c r="G368" s="2">
        <v>0</v>
      </c>
      <c r="H368" s="2">
        <v>1</v>
      </c>
      <c r="I368" s="2" t="s">
        <v>274</v>
      </c>
    </row>
    <row r="369" spans="1:9" x14ac:dyDescent="0.45">
      <c r="A369" s="2">
        <v>57</v>
      </c>
      <c r="B369" s="2" t="s">
        <v>42</v>
      </c>
      <c r="C369" s="2" t="str">
        <f>VLOOKUP(B369,D.ファイターリスト!$B$5:$C$86,2,FALSE)</f>
        <v>パルテナ</v>
      </c>
      <c r="D369" s="2">
        <v>40</v>
      </c>
      <c r="E369" s="2" t="s">
        <v>25</v>
      </c>
      <c r="F369" s="2" t="str">
        <f>VLOOKUP(E369,D.ファイターリスト!$B$5:$C$86,2,FALSE)</f>
        <v>リュカ</v>
      </c>
      <c r="G369" s="2">
        <v>1</v>
      </c>
      <c r="H369" s="2">
        <v>0</v>
      </c>
      <c r="I369" s="2" t="s">
        <v>275</v>
      </c>
    </row>
    <row r="370" spans="1:9" x14ac:dyDescent="0.45">
      <c r="A370" s="2">
        <v>57</v>
      </c>
      <c r="B370" s="2" t="s">
        <v>42</v>
      </c>
      <c r="C370" s="2" t="str">
        <f>VLOOKUP(B370,D.ファイターリスト!$B$5:$C$86,2,FALSE)</f>
        <v>パルテナ</v>
      </c>
      <c r="D370" s="2">
        <v>41</v>
      </c>
      <c r="E370" s="2" t="s">
        <v>26</v>
      </c>
      <c r="F370" s="2" t="str">
        <f>VLOOKUP(E370,D.ファイターリスト!$B$5:$C$86,2,FALSE)</f>
        <v>ソニック</v>
      </c>
      <c r="G370" s="2">
        <v>0</v>
      </c>
      <c r="H370" s="2">
        <v>0</v>
      </c>
      <c r="I370" s="2"/>
    </row>
    <row r="371" spans="1:9" x14ac:dyDescent="0.45">
      <c r="A371" s="2">
        <v>57</v>
      </c>
      <c r="B371" s="2" t="s">
        <v>42</v>
      </c>
      <c r="C371" s="2" t="str">
        <f>VLOOKUP(B371,D.ファイターリスト!$B$5:$C$86,2,FALSE)</f>
        <v>パルテナ</v>
      </c>
      <c r="D371" s="2">
        <v>42</v>
      </c>
      <c r="E371" s="2" t="s">
        <v>27</v>
      </c>
      <c r="F371" s="2" t="str">
        <f>VLOOKUP(E371,D.ファイターリスト!$B$5:$C$86,2,FALSE)</f>
        <v>DDD</v>
      </c>
      <c r="G371" s="2">
        <v>0</v>
      </c>
      <c r="H371" s="2">
        <v>0</v>
      </c>
      <c r="I371" s="2"/>
    </row>
    <row r="372" spans="1:9" x14ac:dyDescent="0.45">
      <c r="A372" s="2">
        <v>57</v>
      </c>
      <c r="B372" s="2" t="s">
        <v>42</v>
      </c>
      <c r="C372" s="2" t="str">
        <f>VLOOKUP(B372,D.ファイターリスト!$B$5:$C$86,2,FALSE)</f>
        <v>パルテナ</v>
      </c>
      <c r="D372" s="2">
        <v>43</v>
      </c>
      <c r="E372" s="2" t="s">
        <v>28</v>
      </c>
      <c r="F372" s="2" t="str">
        <f>VLOOKUP(E372,D.ファイターリスト!$B$5:$C$86,2,FALSE)</f>
        <v>ピクオリ</v>
      </c>
      <c r="G372" s="2">
        <v>0</v>
      </c>
      <c r="H372" s="2">
        <v>0</v>
      </c>
      <c r="I372" s="2"/>
    </row>
    <row r="373" spans="1:9" x14ac:dyDescent="0.45">
      <c r="A373" s="2">
        <v>57</v>
      </c>
      <c r="B373" s="2" t="s">
        <v>42</v>
      </c>
      <c r="C373" s="2" t="str">
        <f>VLOOKUP(B373,D.ファイターリスト!$B$5:$C$86,2,FALSE)</f>
        <v>パルテナ</v>
      </c>
      <c r="D373" s="2">
        <v>44</v>
      </c>
      <c r="E373" s="2" t="s">
        <v>29</v>
      </c>
      <c r="F373" s="2" t="str">
        <f>VLOOKUP(E373,D.ファイターリスト!$B$5:$C$86,2,FALSE)</f>
        <v>ルカリオ</v>
      </c>
      <c r="G373" s="2">
        <v>0</v>
      </c>
      <c r="H373" s="2">
        <v>0</v>
      </c>
      <c r="I373" s="2"/>
    </row>
    <row r="374" spans="1:9" x14ac:dyDescent="0.45">
      <c r="A374" s="2">
        <v>57</v>
      </c>
      <c r="B374" s="2" t="s">
        <v>42</v>
      </c>
      <c r="C374" s="2" t="str">
        <f>VLOOKUP(B374,D.ファイターリスト!$B$5:$C$86,2,FALSE)</f>
        <v>パルテナ</v>
      </c>
      <c r="D374" s="2">
        <v>45</v>
      </c>
      <c r="E374" s="2" t="s">
        <v>30</v>
      </c>
      <c r="F374" s="2" t="str">
        <f>VLOOKUP(E374,D.ファイターリスト!$B$5:$C$86,2,FALSE)</f>
        <v>ロボット</v>
      </c>
      <c r="G374" s="2">
        <v>0</v>
      </c>
      <c r="H374" s="2">
        <v>0</v>
      </c>
      <c r="I374" s="2"/>
    </row>
    <row r="375" spans="1:9" x14ac:dyDescent="0.45">
      <c r="A375" s="2">
        <v>57</v>
      </c>
      <c r="B375" s="2" t="s">
        <v>42</v>
      </c>
      <c r="C375" s="2" t="str">
        <f>VLOOKUP(B375,D.ファイターリスト!$B$5:$C$86,2,FALSE)</f>
        <v>パルテナ</v>
      </c>
      <c r="D375" s="2">
        <v>46</v>
      </c>
      <c r="E375" s="2" t="s">
        <v>31</v>
      </c>
      <c r="F375" s="2" t="str">
        <f>VLOOKUP(E375,D.ファイターリスト!$B$5:$C$86,2,FALSE)</f>
        <v>トリン</v>
      </c>
      <c r="G375" s="2">
        <v>0</v>
      </c>
      <c r="H375" s="2">
        <v>0</v>
      </c>
      <c r="I375" s="2"/>
    </row>
    <row r="376" spans="1:9" x14ac:dyDescent="0.45">
      <c r="A376" s="2">
        <v>57</v>
      </c>
      <c r="B376" s="2" t="s">
        <v>42</v>
      </c>
      <c r="C376" s="2" t="str">
        <f>VLOOKUP(B376,D.ファイターリスト!$B$5:$C$86,2,FALSE)</f>
        <v>パルテナ</v>
      </c>
      <c r="D376" s="2">
        <v>47</v>
      </c>
      <c r="E376" s="2" t="s">
        <v>32</v>
      </c>
      <c r="F376" s="2" t="str">
        <f>VLOOKUP(E376,D.ファイターリスト!$B$5:$C$86,2,FALSE)</f>
        <v>ウルフ</v>
      </c>
      <c r="G376" s="2">
        <v>0</v>
      </c>
      <c r="H376" s="2">
        <v>0</v>
      </c>
      <c r="I376" s="2"/>
    </row>
    <row r="377" spans="1:9" x14ac:dyDescent="0.45">
      <c r="A377" s="2">
        <v>57</v>
      </c>
      <c r="B377" s="2" t="s">
        <v>42</v>
      </c>
      <c r="C377" s="2" t="str">
        <f>VLOOKUP(B377,D.ファイターリスト!$B$5:$C$86,2,FALSE)</f>
        <v>パルテナ</v>
      </c>
      <c r="D377" s="2">
        <v>48</v>
      </c>
      <c r="E377" s="2" t="s">
        <v>33</v>
      </c>
      <c r="F377" s="2" t="str">
        <f>VLOOKUP(E377,D.ファイターリスト!$B$5:$C$86,2,FALSE)</f>
        <v>むらびと</v>
      </c>
      <c r="G377" s="2">
        <v>0</v>
      </c>
      <c r="H377" s="2">
        <v>0</v>
      </c>
      <c r="I377" s="2"/>
    </row>
    <row r="378" spans="1:9" x14ac:dyDescent="0.45">
      <c r="A378" s="2">
        <v>57</v>
      </c>
      <c r="B378" s="2" t="s">
        <v>42</v>
      </c>
      <c r="C378" s="2" t="str">
        <f>VLOOKUP(B378,D.ファイターリスト!$B$5:$C$86,2,FALSE)</f>
        <v>パルテナ</v>
      </c>
      <c r="D378" s="2">
        <v>49</v>
      </c>
      <c r="E378" s="2" t="s">
        <v>34</v>
      </c>
      <c r="F378" s="2" t="str">
        <f>VLOOKUP(E378,D.ファイターリスト!$B$5:$C$86,2,FALSE)</f>
        <v>岩</v>
      </c>
      <c r="G378" s="2">
        <v>0</v>
      </c>
      <c r="H378" s="2">
        <v>0</v>
      </c>
      <c r="I378" s="2"/>
    </row>
    <row r="379" spans="1:9" x14ac:dyDescent="0.45">
      <c r="A379" s="2">
        <v>57</v>
      </c>
      <c r="B379" s="2" t="s">
        <v>42</v>
      </c>
      <c r="C379" s="2" t="str">
        <f>VLOOKUP(B379,D.ファイターリスト!$B$5:$C$86,2,FALSE)</f>
        <v>パルテナ</v>
      </c>
      <c r="D379" s="2">
        <v>50</v>
      </c>
      <c r="E379" s="2" t="s">
        <v>35</v>
      </c>
      <c r="F379" s="2" t="str">
        <f>VLOOKUP(E379,D.ファイターリスト!$B$5:$C$86,2,FALSE)</f>
        <v>フィットレ</v>
      </c>
      <c r="G379" s="2">
        <v>0</v>
      </c>
      <c r="H379" s="2">
        <v>0</v>
      </c>
      <c r="I379" s="2"/>
    </row>
    <row r="380" spans="1:9" x14ac:dyDescent="0.45">
      <c r="A380" s="2">
        <v>57</v>
      </c>
      <c r="B380" s="2" t="s">
        <v>42</v>
      </c>
      <c r="C380" s="2" t="str">
        <f>VLOOKUP(B380,D.ファイターリスト!$B$5:$C$86,2,FALSE)</f>
        <v>パルテナ</v>
      </c>
      <c r="D380" s="2">
        <v>51</v>
      </c>
      <c r="E380" s="2" t="s">
        <v>36</v>
      </c>
      <c r="F380" s="2" t="str">
        <f>VLOOKUP(E380,D.ファイターリスト!$B$5:$C$86,2,FALSE)</f>
        <v>ロゼチコ</v>
      </c>
      <c r="G380" s="2">
        <v>0</v>
      </c>
      <c r="H380" s="2">
        <v>0</v>
      </c>
      <c r="I380" s="2"/>
    </row>
    <row r="381" spans="1:9" x14ac:dyDescent="0.45">
      <c r="A381" s="2">
        <v>57</v>
      </c>
      <c r="B381" s="2" t="s">
        <v>42</v>
      </c>
      <c r="C381" s="2" t="str">
        <f>VLOOKUP(B381,D.ファイターリスト!$B$5:$C$86,2,FALSE)</f>
        <v>パルテナ</v>
      </c>
      <c r="D381" s="2">
        <v>52</v>
      </c>
      <c r="E381" s="2" t="s">
        <v>37</v>
      </c>
      <c r="F381" s="2" t="str">
        <f>VLOOKUP(E381,D.ファイターリスト!$B$5:$C$86,2,FALSE)</f>
        <v>リトマ</v>
      </c>
      <c r="G381" s="2">
        <v>2</v>
      </c>
      <c r="H381" s="2">
        <v>1</v>
      </c>
      <c r="I381" s="2" t="s">
        <v>276</v>
      </c>
    </row>
    <row r="382" spans="1:9" x14ac:dyDescent="0.45">
      <c r="A382" s="2">
        <v>57</v>
      </c>
      <c r="B382" s="2" t="s">
        <v>42</v>
      </c>
      <c r="C382" s="2" t="str">
        <f>VLOOKUP(B382,D.ファイターリスト!$B$5:$C$86,2,FALSE)</f>
        <v>パルテナ</v>
      </c>
      <c r="D382" s="2">
        <v>53</v>
      </c>
      <c r="E382" s="2" t="s">
        <v>38</v>
      </c>
      <c r="F382" s="2" t="str">
        <f>VLOOKUP(E382,D.ファイターリスト!$B$5:$C$86,2,FALSE)</f>
        <v>ゲコ</v>
      </c>
      <c r="G382" s="2">
        <v>1</v>
      </c>
      <c r="H382" s="2">
        <v>0</v>
      </c>
      <c r="I382" s="2"/>
    </row>
    <row r="383" spans="1:9" x14ac:dyDescent="0.45">
      <c r="A383" s="2">
        <v>57</v>
      </c>
      <c r="B383" s="2" t="s">
        <v>42</v>
      </c>
      <c r="C383" s="2" t="str">
        <f>VLOOKUP(B383,D.ファイターリスト!$B$5:$C$86,2,FALSE)</f>
        <v>パルテナ</v>
      </c>
      <c r="D383" s="2">
        <v>54</v>
      </c>
      <c r="E383" s="2" t="s">
        <v>39</v>
      </c>
      <c r="F383" s="2" t="str">
        <f>VLOOKUP(E383,D.ファイターリスト!$B$5:$C$86,2,FALSE)</f>
        <v>カクミ</v>
      </c>
      <c r="G383" s="2">
        <v>0</v>
      </c>
      <c r="H383" s="2">
        <v>0</v>
      </c>
      <c r="I383" s="2"/>
    </row>
    <row r="384" spans="1:9" x14ac:dyDescent="0.45">
      <c r="A384" s="2">
        <v>57</v>
      </c>
      <c r="B384" s="2" t="s">
        <v>42</v>
      </c>
      <c r="C384" s="2" t="str">
        <f>VLOOKUP(B384,D.ファイターリスト!$B$5:$C$86,2,FALSE)</f>
        <v>パルテナ</v>
      </c>
      <c r="D384" s="2">
        <v>55</v>
      </c>
      <c r="E384" s="2" t="s">
        <v>40</v>
      </c>
      <c r="F384" s="2" t="str">
        <f>VLOOKUP(E384,D.ファイターリスト!$B$5:$C$86,2,FALSE)</f>
        <v>ケンミ</v>
      </c>
      <c r="G384" s="2">
        <v>0</v>
      </c>
      <c r="H384" s="2">
        <v>0</v>
      </c>
      <c r="I384" s="2"/>
    </row>
    <row r="385" spans="1:9" x14ac:dyDescent="0.45">
      <c r="A385" s="2">
        <v>57</v>
      </c>
      <c r="B385" s="2" t="s">
        <v>42</v>
      </c>
      <c r="C385" s="2" t="str">
        <f>VLOOKUP(B385,D.ファイターリスト!$B$5:$C$86,2,FALSE)</f>
        <v>パルテナ</v>
      </c>
      <c r="D385" s="2">
        <v>56</v>
      </c>
      <c r="E385" s="2" t="s">
        <v>41</v>
      </c>
      <c r="F385" s="2" t="str">
        <f>VLOOKUP(E385,D.ファイターリスト!$B$5:$C$86,2,FALSE)</f>
        <v>シャゲミ</v>
      </c>
      <c r="G385" s="2">
        <v>0</v>
      </c>
      <c r="H385" s="2">
        <v>0</v>
      </c>
      <c r="I385" s="2"/>
    </row>
    <row r="386" spans="1:9" x14ac:dyDescent="0.45">
      <c r="A386" s="2">
        <v>57</v>
      </c>
      <c r="B386" s="2" t="s">
        <v>42</v>
      </c>
      <c r="C386" s="2" t="str">
        <f>VLOOKUP(B386,D.ファイターリスト!$B$5:$C$86,2,FALSE)</f>
        <v>パルテナ</v>
      </c>
      <c r="D386" s="2">
        <v>57</v>
      </c>
      <c r="E386" s="2" t="s">
        <v>42</v>
      </c>
      <c r="F386" s="2" t="str">
        <f>VLOOKUP(E386,D.ファイターリスト!$B$5:$C$86,2,FALSE)</f>
        <v>パルテナ</v>
      </c>
      <c r="G386" s="2">
        <v>1</v>
      </c>
      <c r="H386" s="2">
        <v>0</v>
      </c>
      <c r="I386" s="2"/>
    </row>
    <row r="387" spans="1:9" x14ac:dyDescent="0.45">
      <c r="A387" s="2">
        <v>57</v>
      </c>
      <c r="B387" s="2" t="s">
        <v>42</v>
      </c>
      <c r="C387" s="2" t="str">
        <f>VLOOKUP(B387,D.ファイターリスト!$B$5:$C$86,2,FALSE)</f>
        <v>パルテナ</v>
      </c>
      <c r="D387" s="2">
        <v>58</v>
      </c>
      <c r="E387" s="2" t="s">
        <v>43</v>
      </c>
      <c r="F387" s="2" t="str">
        <f>VLOOKUP(E387,D.ファイターリスト!$B$5:$C$86,2,FALSE)</f>
        <v>金玉</v>
      </c>
      <c r="G387" s="2">
        <v>0</v>
      </c>
      <c r="H387" s="2">
        <v>0</v>
      </c>
      <c r="I387" s="2"/>
    </row>
    <row r="388" spans="1:9" x14ac:dyDescent="0.45">
      <c r="A388" s="2">
        <v>57</v>
      </c>
      <c r="B388" s="2" t="s">
        <v>42</v>
      </c>
      <c r="C388" s="2" t="str">
        <f>VLOOKUP(B388,D.ファイターリスト!$B$5:$C$86,2,FALSE)</f>
        <v>パルテナ</v>
      </c>
      <c r="D388" s="2">
        <v>59</v>
      </c>
      <c r="E388" s="2" t="s">
        <v>44</v>
      </c>
      <c r="F388" s="2" t="str">
        <f>VLOOKUP(E388,D.ファイターリスト!$B$5:$C$86,2,FALSE)</f>
        <v>ルフレ</v>
      </c>
      <c r="G388" s="2">
        <v>0</v>
      </c>
      <c r="H388" s="2">
        <v>0</v>
      </c>
      <c r="I388" s="2"/>
    </row>
    <row r="389" spans="1:9" x14ac:dyDescent="0.45">
      <c r="A389" s="2">
        <v>57</v>
      </c>
      <c r="B389" s="2" t="s">
        <v>42</v>
      </c>
      <c r="C389" s="2" t="str">
        <f>VLOOKUP(B389,D.ファイターリスト!$B$5:$C$86,2,FALSE)</f>
        <v>パルテナ</v>
      </c>
      <c r="D389" s="2">
        <v>60</v>
      </c>
      <c r="E389" s="2" t="s">
        <v>45</v>
      </c>
      <c r="F389" s="2" t="str">
        <f>VLOOKUP(E389,D.ファイターリスト!$B$5:$C$86,2,FALSE)</f>
        <v>手越</v>
      </c>
      <c r="G389" s="2">
        <v>0</v>
      </c>
      <c r="H389" s="2">
        <v>0</v>
      </c>
      <c r="I389" s="2"/>
    </row>
    <row r="390" spans="1:9" x14ac:dyDescent="0.45">
      <c r="A390" s="2">
        <v>57</v>
      </c>
      <c r="B390" s="2" t="s">
        <v>42</v>
      </c>
      <c r="C390" s="2" t="str">
        <f>VLOOKUP(B390,D.ファイターリスト!$B$5:$C$86,2,FALSE)</f>
        <v>パルテナ</v>
      </c>
      <c r="D390" s="2">
        <v>61</v>
      </c>
      <c r="E390" s="2" t="s">
        <v>46</v>
      </c>
      <c r="F390" s="2" t="str">
        <f>VLOOKUP(E390,D.ファイターリスト!$B$5:$C$86,2,FALSE)</f>
        <v>パジュニ</v>
      </c>
      <c r="G390" s="2">
        <v>1</v>
      </c>
      <c r="H390" s="2">
        <v>0</v>
      </c>
      <c r="I390" s="2"/>
    </row>
    <row r="391" spans="1:9" x14ac:dyDescent="0.45">
      <c r="A391" s="2">
        <v>57</v>
      </c>
      <c r="B391" s="2" t="s">
        <v>42</v>
      </c>
      <c r="C391" s="2" t="str">
        <f>VLOOKUP(B391,D.ファイターリスト!$B$5:$C$86,2,FALSE)</f>
        <v>パルテナ</v>
      </c>
      <c r="D391" s="2">
        <v>62</v>
      </c>
      <c r="E391" s="2" t="s">
        <v>47</v>
      </c>
      <c r="F391" s="2" t="str">
        <f>VLOOKUP(E391,D.ファイターリスト!$B$5:$C$86,2,FALSE)</f>
        <v>犬</v>
      </c>
      <c r="G391" s="2">
        <v>0</v>
      </c>
      <c r="H391" s="2">
        <v>0</v>
      </c>
      <c r="I391" s="2"/>
    </row>
    <row r="392" spans="1:9" x14ac:dyDescent="0.45">
      <c r="A392" s="2">
        <v>57</v>
      </c>
      <c r="B392" s="2" t="s">
        <v>42</v>
      </c>
      <c r="C392" s="2" t="str">
        <f>VLOOKUP(B392,D.ファイターリスト!$B$5:$C$86,2,FALSE)</f>
        <v>パルテナ</v>
      </c>
      <c r="D392" s="2">
        <v>63</v>
      </c>
      <c r="E392" s="2" t="s">
        <v>48</v>
      </c>
      <c r="F392" s="2" t="str">
        <f>VLOOKUP(E392,D.ファイターリスト!$B$5:$C$86,2,FALSE)</f>
        <v>リュウ</v>
      </c>
      <c r="G392" s="2">
        <v>0</v>
      </c>
      <c r="H392" s="2">
        <v>0</v>
      </c>
      <c r="I392" s="2"/>
    </row>
    <row r="393" spans="1:9" x14ac:dyDescent="0.45">
      <c r="A393" s="2">
        <v>57</v>
      </c>
      <c r="B393" s="2" t="s">
        <v>42</v>
      </c>
      <c r="C393" s="2" t="str">
        <f>VLOOKUP(B393,D.ファイターリスト!$B$5:$C$86,2,FALSE)</f>
        <v>パルテナ</v>
      </c>
      <c r="D393" s="2">
        <v>64</v>
      </c>
      <c r="E393" s="2" t="s">
        <v>49</v>
      </c>
      <c r="F393" s="2" t="str">
        <f>VLOOKUP(E393,D.ファイターリスト!$B$5:$C$86,2,FALSE)</f>
        <v>剣</v>
      </c>
      <c r="G393" s="2">
        <v>1</v>
      </c>
      <c r="H393" s="2">
        <v>0</v>
      </c>
      <c r="I393" s="2"/>
    </row>
    <row r="394" spans="1:9" x14ac:dyDescent="0.45">
      <c r="A394" s="2">
        <v>57</v>
      </c>
      <c r="B394" s="2" t="s">
        <v>42</v>
      </c>
      <c r="C394" s="2" t="str">
        <f>VLOOKUP(B394,D.ファイターリスト!$B$5:$C$86,2,FALSE)</f>
        <v>パルテナ</v>
      </c>
      <c r="D394" s="2">
        <v>65</v>
      </c>
      <c r="E394" s="2" t="s">
        <v>50</v>
      </c>
      <c r="F394" s="2" t="str">
        <f>VLOOKUP(E394,D.ファイターリスト!$B$5:$C$86,2,FALSE)</f>
        <v>クラウド</v>
      </c>
      <c r="G394" s="2">
        <v>0</v>
      </c>
      <c r="H394" s="2">
        <v>0</v>
      </c>
      <c r="I394" s="2" t="s">
        <v>277</v>
      </c>
    </row>
    <row r="395" spans="1:9" x14ac:dyDescent="0.45">
      <c r="A395" s="2">
        <v>57</v>
      </c>
      <c r="B395" s="2" t="s">
        <v>42</v>
      </c>
      <c r="C395" s="2" t="str">
        <f>VLOOKUP(B395,D.ファイターリスト!$B$5:$C$86,2,FALSE)</f>
        <v>パルテナ</v>
      </c>
      <c r="D395" s="2">
        <v>66</v>
      </c>
      <c r="E395" s="2" t="s">
        <v>51</v>
      </c>
      <c r="F395" s="2" t="str">
        <f>VLOOKUP(E395,D.ファイターリスト!$B$5:$C$86,2,FALSE)</f>
        <v>カムイ</v>
      </c>
      <c r="G395" s="2">
        <v>1</v>
      </c>
      <c r="H395" s="2">
        <v>1</v>
      </c>
      <c r="I395" s="2" t="s">
        <v>278</v>
      </c>
    </row>
    <row r="396" spans="1:9" x14ac:dyDescent="0.45">
      <c r="A396" s="2">
        <v>57</v>
      </c>
      <c r="B396" s="2" t="s">
        <v>42</v>
      </c>
      <c r="C396" s="2" t="str">
        <f>VLOOKUP(B396,D.ファイターリスト!$B$5:$C$86,2,FALSE)</f>
        <v>パルテナ</v>
      </c>
      <c r="D396" s="2">
        <v>67</v>
      </c>
      <c r="E396" s="2" t="s">
        <v>52</v>
      </c>
      <c r="F396" s="2" t="str">
        <f>VLOOKUP(E396,D.ファイターリスト!$B$5:$C$86,2,FALSE)</f>
        <v>ベヨネッタ</v>
      </c>
      <c r="G396" s="2">
        <v>0</v>
      </c>
      <c r="H396" s="2">
        <v>0</v>
      </c>
      <c r="I396" s="2"/>
    </row>
    <row r="397" spans="1:9" x14ac:dyDescent="0.45">
      <c r="A397" s="2">
        <v>57</v>
      </c>
      <c r="B397" s="2" t="s">
        <v>42</v>
      </c>
      <c r="C397" s="2" t="str">
        <f>VLOOKUP(B397,D.ファイターリスト!$B$5:$C$86,2,FALSE)</f>
        <v>パルテナ</v>
      </c>
      <c r="D397" s="2">
        <v>68</v>
      </c>
      <c r="E397" s="2" t="s">
        <v>53</v>
      </c>
      <c r="F397" s="2" t="str">
        <f>VLOOKUP(E397,D.ファイターリスト!$B$5:$C$86,2,FALSE)</f>
        <v>イカ</v>
      </c>
      <c r="G397" s="2">
        <v>0</v>
      </c>
      <c r="H397" s="2">
        <v>0</v>
      </c>
      <c r="I397" s="2"/>
    </row>
    <row r="398" spans="1:9" x14ac:dyDescent="0.45">
      <c r="A398" s="2">
        <v>57</v>
      </c>
      <c r="B398" s="2" t="s">
        <v>42</v>
      </c>
      <c r="C398" s="2" t="str">
        <f>VLOOKUP(B398,D.ファイターリスト!$B$5:$C$86,2,FALSE)</f>
        <v>パルテナ</v>
      </c>
      <c r="D398" s="2">
        <v>69</v>
      </c>
      <c r="E398" s="2" t="s">
        <v>54</v>
      </c>
      <c r="F398" s="2" t="str">
        <f>VLOOKUP(E398,D.ファイターリスト!$B$5:$C$86,2,FALSE)</f>
        <v>リドリー</v>
      </c>
      <c r="G398" s="2">
        <v>1</v>
      </c>
      <c r="H398" s="2">
        <v>0</v>
      </c>
      <c r="I398" s="2"/>
    </row>
    <row r="399" spans="1:9" x14ac:dyDescent="0.45">
      <c r="A399" s="2">
        <v>57</v>
      </c>
      <c r="B399" s="2" t="s">
        <v>42</v>
      </c>
      <c r="C399" s="2" t="str">
        <f>VLOOKUP(B399,D.ファイターリスト!$B$5:$C$86,2,FALSE)</f>
        <v>パルテナ</v>
      </c>
      <c r="D399" s="2">
        <v>70</v>
      </c>
      <c r="E399" s="2" t="s">
        <v>151</v>
      </c>
      <c r="F399" s="2" t="str">
        <f>VLOOKUP(E399,D.ファイターリスト!$B$5:$C$86,2,FALSE)</f>
        <v>シモリヒ</v>
      </c>
      <c r="G399" s="2">
        <v>0</v>
      </c>
      <c r="H399" s="2">
        <v>1</v>
      </c>
      <c r="I399" s="2"/>
    </row>
    <row r="400" spans="1:9" x14ac:dyDescent="0.45">
      <c r="A400" s="2">
        <v>57</v>
      </c>
      <c r="B400" s="2" t="s">
        <v>42</v>
      </c>
      <c r="C400" s="2" t="str">
        <f>VLOOKUP(B400,D.ファイターリスト!$B$5:$C$86,2,FALSE)</f>
        <v>パルテナ</v>
      </c>
      <c r="D400" s="2">
        <v>72</v>
      </c>
      <c r="E400" s="2" t="s">
        <v>55</v>
      </c>
      <c r="F400" s="2" t="str">
        <f>VLOOKUP(E400,D.ファイターリスト!$B$5:$C$86,2,FALSE)</f>
        <v>キンクル</v>
      </c>
      <c r="G400" s="2">
        <v>0</v>
      </c>
      <c r="H400" s="2">
        <v>2</v>
      </c>
      <c r="I400" s="2" t="s">
        <v>279</v>
      </c>
    </row>
    <row r="401" spans="1:9" x14ac:dyDescent="0.45">
      <c r="A401" s="2">
        <v>57</v>
      </c>
      <c r="B401" s="2" t="s">
        <v>42</v>
      </c>
      <c r="C401" s="2" t="str">
        <f>VLOOKUP(B401,D.ファイターリスト!$B$5:$C$86,2,FALSE)</f>
        <v>パルテナ</v>
      </c>
      <c r="D401" s="2">
        <v>73</v>
      </c>
      <c r="E401" s="2" t="s">
        <v>56</v>
      </c>
      <c r="F401" s="2" t="str">
        <f>VLOOKUP(E401,D.ファイターリスト!$B$5:$C$86,2,FALSE)</f>
        <v>しずえ</v>
      </c>
      <c r="G401" s="2">
        <v>0</v>
      </c>
      <c r="H401" s="2">
        <v>0</v>
      </c>
      <c r="I401" s="2"/>
    </row>
    <row r="402" spans="1:9" x14ac:dyDescent="0.45">
      <c r="A402" s="2">
        <v>57</v>
      </c>
      <c r="B402" s="2" t="s">
        <v>42</v>
      </c>
      <c r="C402" s="2" t="str">
        <f>VLOOKUP(B402,D.ファイターリスト!$B$5:$C$86,2,FALSE)</f>
        <v>パルテナ</v>
      </c>
      <c r="D402" s="2">
        <v>74</v>
      </c>
      <c r="E402" s="2" t="s">
        <v>57</v>
      </c>
      <c r="F402" s="2" t="str">
        <f>VLOOKUP(E402,D.ファイターリスト!$B$5:$C$86,2,FALSE)</f>
        <v>ガエン</v>
      </c>
      <c r="G402" s="2">
        <v>0</v>
      </c>
      <c r="H402" s="2">
        <v>0</v>
      </c>
      <c r="I402" s="2"/>
    </row>
    <row r="403" spans="1:9" x14ac:dyDescent="0.45">
      <c r="A403" s="2">
        <v>57</v>
      </c>
      <c r="B403" s="2" t="s">
        <v>42</v>
      </c>
      <c r="C403" s="2" t="str">
        <f>VLOOKUP(B403,D.ファイターリスト!$B$5:$C$86,2,FALSE)</f>
        <v>パルテナ</v>
      </c>
      <c r="D403" s="2">
        <v>75</v>
      </c>
      <c r="E403" s="2" t="s">
        <v>58</v>
      </c>
      <c r="F403" s="2" t="str">
        <f>VLOOKUP(E403,D.ファイターリスト!$B$5:$C$86,2,FALSE)</f>
        <v>草</v>
      </c>
      <c r="G403" s="2">
        <v>0</v>
      </c>
      <c r="H403" s="2">
        <v>0</v>
      </c>
      <c r="I403" s="2"/>
    </row>
    <row r="404" spans="1:9" x14ac:dyDescent="0.45">
      <c r="A404" s="2">
        <v>57</v>
      </c>
      <c r="B404" s="2" t="s">
        <v>42</v>
      </c>
      <c r="C404" s="2" t="str">
        <f>VLOOKUP(B404,D.ファイターリスト!$B$5:$C$86,2,FALSE)</f>
        <v>パルテナ</v>
      </c>
      <c r="D404" s="2">
        <v>76</v>
      </c>
      <c r="E404" s="2" t="s">
        <v>59</v>
      </c>
      <c r="F404" s="2" t="str">
        <f>VLOOKUP(E404,D.ファイターリスト!$B$5:$C$86,2,FALSE)</f>
        <v>J</v>
      </c>
      <c r="G404" s="2">
        <v>0</v>
      </c>
      <c r="H404" s="2">
        <v>1</v>
      </c>
      <c r="I404" s="2"/>
    </row>
    <row r="405" spans="1:9" x14ac:dyDescent="0.45">
      <c r="A405" s="2">
        <v>57</v>
      </c>
      <c r="B405" s="2" t="s">
        <v>42</v>
      </c>
      <c r="C405" s="2" t="str">
        <f>VLOOKUP(B405,D.ファイターリスト!$B$5:$C$86,2,FALSE)</f>
        <v>パルテナ</v>
      </c>
      <c r="D405" s="2">
        <v>77</v>
      </c>
      <c r="E405" s="2" t="s">
        <v>60</v>
      </c>
      <c r="F405" s="2" t="str">
        <f>VLOOKUP(E405,D.ファイターリスト!$B$5:$C$86,2,FALSE)</f>
        <v>勇者</v>
      </c>
      <c r="G405" s="2">
        <v>0</v>
      </c>
      <c r="H405" s="2">
        <v>0</v>
      </c>
      <c r="I405" s="2"/>
    </row>
    <row r="406" spans="1:9" x14ac:dyDescent="0.45">
      <c r="A406" s="2">
        <v>57</v>
      </c>
      <c r="B406" s="2" t="s">
        <v>42</v>
      </c>
      <c r="C406" s="2" t="str">
        <f>VLOOKUP(B406,D.ファイターリスト!$B$5:$C$86,2,FALSE)</f>
        <v>パルテナ</v>
      </c>
      <c r="D406" s="2">
        <v>78</v>
      </c>
      <c r="E406" s="2" t="s">
        <v>61</v>
      </c>
      <c r="F406" s="2" t="str">
        <f>VLOOKUP(E406,D.ファイターリスト!$B$5:$C$86,2,FALSE)</f>
        <v>バンカズ</v>
      </c>
      <c r="G406" s="2">
        <v>0</v>
      </c>
      <c r="H406" s="2">
        <v>0</v>
      </c>
      <c r="I406" s="2"/>
    </row>
    <row r="407" spans="1:9" x14ac:dyDescent="0.45">
      <c r="A407" s="2">
        <v>57</v>
      </c>
      <c r="B407" s="2" t="s">
        <v>42</v>
      </c>
      <c r="C407" s="2" t="str">
        <f>VLOOKUP(B407,D.ファイターリスト!$B$5:$C$86,2,FALSE)</f>
        <v>パルテナ</v>
      </c>
      <c r="D407" s="2">
        <v>79</v>
      </c>
      <c r="E407" s="2" t="s">
        <v>62</v>
      </c>
      <c r="F407" s="2" t="str">
        <f>VLOOKUP(E407,D.ファイターリスト!$B$5:$C$86,2,FALSE)</f>
        <v>テリー</v>
      </c>
      <c r="G407" s="2">
        <v>0</v>
      </c>
      <c r="H407" s="2">
        <v>0</v>
      </c>
      <c r="I407" s="2"/>
    </row>
    <row r="408" spans="1:9" x14ac:dyDescent="0.45">
      <c r="A408" s="2">
        <v>57</v>
      </c>
      <c r="B408" s="2" t="s">
        <v>42</v>
      </c>
      <c r="C408" s="2" t="str">
        <f>VLOOKUP(B408,D.ファイターリスト!$B$5:$C$86,2,FALSE)</f>
        <v>パルテナ</v>
      </c>
      <c r="D408" s="2">
        <v>80</v>
      </c>
      <c r="E408" s="2" t="s">
        <v>63</v>
      </c>
      <c r="F408" s="2" t="str">
        <f>VLOOKUP(E408,D.ファイターリスト!$B$5:$C$86,2,FALSE)</f>
        <v>ベレトス</v>
      </c>
      <c r="G408" s="2">
        <v>2</v>
      </c>
      <c r="H408" s="2">
        <v>0</v>
      </c>
      <c r="I408" s="2"/>
    </row>
    <row r="409" spans="1:9" x14ac:dyDescent="0.45">
      <c r="A409" s="2">
        <v>57</v>
      </c>
      <c r="B409" s="2" t="s">
        <v>42</v>
      </c>
      <c r="C409" s="2" t="str">
        <f>VLOOKUP(B409,D.ファイターリスト!$B$5:$C$86,2,FALSE)</f>
        <v>パルテナ</v>
      </c>
      <c r="D409" s="2">
        <v>81</v>
      </c>
      <c r="E409" s="2" t="s">
        <v>64</v>
      </c>
      <c r="F409" s="2" t="str">
        <f>VLOOKUP(E409,D.ファイターリスト!$B$5:$C$86,2,FALSE)</f>
        <v>メン</v>
      </c>
      <c r="G409" s="2">
        <v>0</v>
      </c>
      <c r="H409" s="2">
        <v>0</v>
      </c>
      <c r="I409" s="2"/>
    </row>
    <row r="410" spans="1:9" x14ac:dyDescent="0.45">
      <c r="A410" s="2">
        <v>57</v>
      </c>
      <c r="B410" s="2" t="s">
        <v>42</v>
      </c>
      <c r="C410" s="2" t="str">
        <f>VLOOKUP(B410,D.ファイターリスト!$B$5:$C$86,2,FALSE)</f>
        <v>パルテナ</v>
      </c>
      <c r="D410" s="2">
        <v>82</v>
      </c>
      <c r="E410" s="2" t="s">
        <v>65</v>
      </c>
      <c r="F410" s="2" t="str">
        <f>VLOOKUP(E410,D.ファイターリスト!$B$5:$C$86,2,FALSE)</f>
        <v>スティーブ</v>
      </c>
      <c r="G410" s="2">
        <v>0</v>
      </c>
      <c r="H410" s="2">
        <v>1</v>
      </c>
      <c r="I410" s="2"/>
    </row>
    <row r="411" spans="1:9" x14ac:dyDescent="0.45">
      <c r="A411" s="2">
        <v>57</v>
      </c>
      <c r="B411" s="2" t="s">
        <v>42</v>
      </c>
      <c r="C411" s="2" t="str">
        <f>VLOOKUP(B411,D.ファイターリスト!$B$5:$C$86,2,FALSE)</f>
        <v>パルテナ</v>
      </c>
      <c r="D411" s="2">
        <v>83</v>
      </c>
      <c r="E411" s="2" t="s">
        <v>66</v>
      </c>
      <c r="F411" s="2" t="str">
        <f>VLOOKUP(E411,D.ファイターリスト!$B$5:$C$86,2,FALSE)</f>
        <v>セフィロス</v>
      </c>
      <c r="G411" s="2">
        <v>0</v>
      </c>
      <c r="H411" s="2">
        <v>2</v>
      </c>
      <c r="I411" s="2" t="s">
        <v>280</v>
      </c>
    </row>
    <row r="412" spans="1:9" x14ac:dyDescent="0.45">
      <c r="A412" s="2">
        <v>57</v>
      </c>
      <c r="B412" s="2" t="s">
        <v>42</v>
      </c>
      <c r="C412" s="2" t="str">
        <f>VLOOKUP(B412,D.ファイターリスト!$B$5:$C$86,2,FALSE)</f>
        <v>パルテナ</v>
      </c>
      <c r="D412" s="2">
        <v>84</v>
      </c>
      <c r="E412" s="2" t="s">
        <v>67</v>
      </c>
      <c r="F412" s="2" t="str">
        <f>VLOOKUP(E412,D.ファイターリスト!$B$5:$C$86,2,FALSE)</f>
        <v>ホムヒカ</v>
      </c>
      <c r="G412" s="2">
        <v>0</v>
      </c>
      <c r="H412" s="2">
        <v>0</v>
      </c>
      <c r="I412" s="2"/>
    </row>
    <row r="413" spans="1:9" x14ac:dyDescent="0.45">
      <c r="A413" s="2">
        <v>57</v>
      </c>
      <c r="B413" s="2" t="s">
        <v>42</v>
      </c>
      <c r="C413" s="2" t="str">
        <f>VLOOKUP(B413,D.ファイターリスト!$B$5:$C$86,2,FALSE)</f>
        <v>パルテナ</v>
      </c>
      <c r="D413" s="2">
        <v>85</v>
      </c>
      <c r="E413" s="2" t="s">
        <v>68</v>
      </c>
      <c r="F413" s="2" t="str">
        <f>VLOOKUP(E413,D.ファイターリスト!$B$5:$C$86,2,FALSE)</f>
        <v>カズヤ</v>
      </c>
      <c r="G413" s="2">
        <v>1</v>
      </c>
      <c r="H413" s="2">
        <v>1</v>
      </c>
      <c r="I413" s="2" t="s">
        <v>281</v>
      </c>
    </row>
    <row r="414" spans="1:9" x14ac:dyDescent="0.45">
      <c r="A414" s="2">
        <v>57</v>
      </c>
      <c r="B414" s="2" t="s">
        <v>42</v>
      </c>
      <c r="C414" s="2" t="str">
        <f>VLOOKUP(B414,D.ファイターリスト!$B$5:$C$86,2,FALSE)</f>
        <v>パルテナ</v>
      </c>
      <c r="D414" s="2">
        <v>86</v>
      </c>
      <c r="E414" s="2" t="s">
        <v>69</v>
      </c>
      <c r="F414" s="2" t="str">
        <f>VLOOKUP(E414,D.ファイターリスト!$B$5:$C$86,2,FALSE)</f>
        <v>ソラ</v>
      </c>
      <c r="G414" s="2">
        <v>1</v>
      </c>
      <c r="H414" s="2">
        <v>0</v>
      </c>
      <c r="I414" s="2" t="s">
        <v>282</v>
      </c>
    </row>
    <row r="415" spans="1:9" x14ac:dyDescent="0.45">
      <c r="A415" s="2">
        <v>27</v>
      </c>
      <c r="B415" s="2" t="s">
        <v>92</v>
      </c>
      <c r="C415" s="2" t="str">
        <f>VLOOKUP(B415,D.ファイターリスト!$B$5:$C$86,2,FALSE)</f>
        <v>M2</v>
      </c>
      <c r="D415" s="2">
        <v>1</v>
      </c>
      <c r="E415" s="2" t="s">
        <v>70</v>
      </c>
      <c r="F415" s="2" t="str">
        <f>VLOOKUP(E415,D.ファイターリスト!$B$5:$C$86,2,FALSE)</f>
        <v>マリオ</v>
      </c>
      <c r="G415" s="2">
        <v>0</v>
      </c>
      <c r="H415" s="2">
        <v>0</v>
      </c>
      <c r="I415" s="2"/>
    </row>
    <row r="416" spans="1:9" x14ac:dyDescent="0.45">
      <c r="A416" s="2">
        <v>27</v>
      </c>
      <c r="B416" s="2" t="s">
        <v>92</v>
      </c>
      <c r="C416" s="2" t="str">
        <f>VLOOKUP(B416,D.ファイターリスト!$B$5:$C$86,2,FALSE)</f>
        <v>M2</v>
      </c>
      <c r="D416" s="2">
        <v>2</v>
      </c>
      <c r="E416" s="2" t="s">
        <v>71</v>
      </c>
      <c r="F416" s="2" t="str">
        <f>VLOOKUP(E416,D.ファイターリスト!$B$5:$C$86,2,FALSE)</f>
        <v>DK</v>
      </c>
      <c r="G416" s="2">
        <v>1</v>
      </c>
      <c r="H416" s="2">
        <v>0</v>
      </c>
      <c r="I416" s="2"/>
    </row>
    <row r="417" spans="1:9" x14ac:dyDescent="0.45">
      <c r="A417" s="2">
        <v>27</v>
      </c>
      <c r="B417" s="2" t="s">
        <v>92</v>
      </c>
      <c r="C417" s="2" t="str">
        <f>VLOOKUP(B417,D.ファイターリスト!$B$5:$C$86,2,FALSE)</f>
        <v>M2</v>
      </c>
      <c r="D417" s="2">
        <v>3</v>
      </c>
      <c r="E417" s="2" t="s">
        <v>72</v>
      </c>
      <c r="F417" s="2" t="str">
        <f>VLOOKUP(E417,D.ファイターリスト!$B$5:$C$86,2,FALSE)</f>
        <v>リンク</v>
      </c>
      <c r="G417" s="2">
        <v>0</v>
      </c>
      <c r="H417" s="2">
        <v>0</v>
      </c>
      <c r="I417" s="2"/>
    </row>
    <row r="418" spans="1:9" x14ac:dyDescent="0.45">
      <c r="A418" s="2">
        <v>27</v>
      </c>
      <c r="B418" s="2" t="s">
        <v>92</v>
      </c>
      <c r="C418" s="2" t="str">
        <f>VLOOKUP(B418,D.ファイターリスト!$B$5:$C$86,2,FALSE)</f>
        <v>M2</v>
      </c>
      <c r="D418" s="2">
        <v>4</v>
      </c>
      <c r="E418" s="2" t="s">
        <v>114</v>
      </c>
      <c r="F418" s="2" t="str">
        <f>VLOOKUP(E418,D.ファイターリスト!$B$5:$C$86,2,FALSE)</f>
        <v>ダムス</v>
      </c>
      <c r="G418" s="2">
        <v>0</v>
      </c>
      <c r="H418" s="2">
        <v>0</v>
      </c>
      <c r="I418" s="2"/>
    </row>
    <row r="419" spans="1:9" x14ac:dyDescent="0.45">
      <c r="A419" s="2">
        <v>27</v>
      </c>
      <c r="B419" s="2" t="s">
        <v>92</v>
      </c>
      <c r="C419" s="2" t="str">
        <f>VLOOKUP(B419,D.ファイターリスト!$B$5:$C$86,2,FALSE)</f>
        <v>M2</v>
      </c>
      <c r="D419" s="2">
        <v>6</v>
      </c>
      <c r="E419" s="2" t="s">
        <v>116</v>
      </c>
      <c r="F419" s="2" t="str">
        <f>VLOOKUP(E419,D.ファイターリスト!$B$5:$C$86,2,FALSE)</f>
        <v>ヨッシー</v>
      </c>
      <c r="G419" s="2">
        <v>0</v>
      </c>
      <c r="H419" s="2">
        <v>0</v>
      </c>
      <c r="I419" s="2"/>
    </row>
    <row r="420" spans="1:9" x14ac:dyDescent="0.45">
      <c r="A420" s="2">
        <v>27</v>
      </c>
      <c r="B420" s="2" t="s">
        <v>92</v>
      </c>
      <c r="C420" s="2" t="str">
        <f>VLOOKUP(B420,D.ファイターリスト!$B$5:$C$86,2,FALSE)</f>
        <v>M2</v>
      </c>
      <c r="D420" s="2">
        <v>7</v>
      </c>
      <c r="E420" s="2" t="s">
        <v>73</v>
      </c>
      <c r="F420" s="2" t="str">
        <f>VLOOKUP(E420,D.ファイターリスト!$B$5:$C$86,2,FALSE)</f>
        <v>CB</v>
      </c>
      <c r="G420" s="2">
        <v>0</v>
      </c>
      <c r="H420" s="2">
        <v>0</v>
      </c>
      <c r="I420" s="2"/>
    </row>
    <row r="421" spans="1:9" x14ac:dyDescent="0.45">
      <c r="A421" s="2">
        <v>27</v>
      </c>
      <c r="B421" s="2" t="s">
        <v>92</v>
      </c>
      <c r="C421" s="2" t="str">
        <f>VLOOKUP(B421,D.ファイターリスト!$B$5:$C$86,2,FALSE)</f>
        <v>M2</v>
      </c>
      <c r="D421" s="2">
        <v>8</v>
      </c>
      <c r="E421" s="2" t="s">
        <v>74</v>
      </c>
      <c r="F421" s="2" t="str">
        <f>VLOOKUP(E421,D.ファイターリスト!$B$5:$C$86,2,FALSE)</f>
        <v>FX</v>
      </c>
      <c r="G421" s="2">
        <v>0</v>
      </c>
      <c r="H421" s="2">
        <v>0</v>
      </c>
      <c r="I421" s="2"/>
    </row>
    <row r="422" spans="1:9" x14ac:dyDescent="0.45">
      <c r="A422" s="2">
        <v>27</v>
      </c>
      <c r="B422" s="2" t="s">
        <v>92</v>
      </c>
      <c r="C422" s="2" t="str">
        <f>VLOOKUP(B422,D.ファイターリスト!$B$5:$C$86,2,FALSE)</f>
        <v>M2</v>
      </c>
      <c r="D422" s="2">
        <v>9</v>
      </c>
      <c r="E422" s="2" t="s">
        <v>75</v>
      </c>
      <c r="F422" s="2" t="str">
        <f>VLOOKUP(E422,D.ファイターリスト!$B$5:$C$86,2,FALSE)</f>
        <v>ピカ</v>
      </c>
      <c r="G422" s="2">
        <v>0</v>
      </c>
      <c r="H422" s="2">
        <v>0</v>
      </c>
      <c r="I422" s="2"/>
    </row>
    <row r="423" spans="1:9" x14ac:dyDescent="0.45">
      <c r="A423" s="2">
        <v>27</v>
      </c>
      <c r="B423" s="2" t="s">
        <v>92</v>
      </c>
      <c r="C423" s="2" t="str">
        <f>VLOOKUP(B423,D.ファイターリスト!$B$5:$C$86,2,FALSE)</f>
        <v>M2</v>
      </c>
      <c r="D423" s="2">
        <v>10</v>
      </c>
      <c r="E423" s="2" t="s">
        <v>2</v>
      </c>
      <c r="F423" s="2" t="str">
        <f>VLOOKUP(E423,D.ファイターリスト!$B$5:$C$86,2,FALSE)</f>
        <v>L</v>
      </c>
      <c r="G423" s="2">
        <v>0</v>
      </c>
      <c r="H423" s="2">
        <v>0</v>
      </c>
      <c r="I423" s="2"/>
    </row>
    <row r="424" spans="1:9" x14ac:dyDescent="0.45">
      <c r="A424" s="2">
        <v>27</v>
      </c>
      <c r="B424" s="2" t="s">
        <v>92</v>
      </c>
      <c r="C424" s="2" t="str">
        <f>VLOOKUP(B424,D.ファイターリスト!$B$5:$C$86,2,FALSE)</f>
        <v>M2</v>
      </c>
      <c r="D424" s="2">
        <v>11</v>
      </c>
      <c r="E424" s="2" t="s">
        <v>3</v>
      </c>
      <c r="F424" s="2" t="str">
        <f>VLOOKUP(E424,D.ファイターリスト!$B$5:$C$86,2,FALSE)</f>
        <v>ネス</v>
      </c>
      <c r="G424" s="2">
        <v>0</v>
      </c>
      <c r="H424" s="2">
        <v>0</v>
      </c>
      <c r="I424" s="2"/>
    </row>
    <row r="425" spans="1:9" x14ac:dyDescent="0.45">
      <c r="A425" s="2">
        <v>27</v>
      </c>
      <c r="B425" s="2" t="s">
        <v>92</v>
      </c>
      <c r="C425" s="2" t="str">
        <f>VLOOKUP(B425,D.ファイターリスト!$B$5:$C$86,2,FALSE)</f>
        <v>M2</v>
      </c>
      <c r="D425" s="2">
        <v>12</v>
      </c>
      <c r="E425" s="2" t="s">
        <v>121</v>
      </c>
      <c r="F425" s="2" t="str">
        <f>VLOOKUP(E425,D.ファイターリスト!$B$5:$C$86,2,FALSE)</f>
        <v>CF</v>
      </c>
      <c r="G425" s="2">
        <v>0</v>
      </c>
      <c r="H425" s="2">
        <v>0</v>
      </c>
      <c r="I425" s="2"/>
    </row>
    <row r="426" spans="1:9" x14ac:dyDescent="0.45">
      <c r="A426" s="2">
        <v>27</v>
      </c>
      <c r="B426" s="2" t="s">
        <v>92</v>
      </c>
      <c r="C426" s="2" t="str">
        <f>VLOOKUP(B426,D.ファイターリスト!$B$5:$C$86,2,FALSE)</f>
        <v>M2</v>
      </c>
      <c r="D426" s="2">
        <v>13</v>
      </c>
      <c r="E426" s="2" t="s">
        <v>4</v>
      </c>
      <c r="F426" s="2" t="str">
        <f>VLOOKUP(E426,D.ファイターリスト!$B$5:$C$86,2,FALSE)</f>
        <v>プリン</v>
      </c>
      <c r="G426" s="2">
        <v>0</v>
      </c>
      <c r="H426" s="2">
        <v>0</v>
      </c>
      <c r="I426" s="2"/>
    </row>
    <row r="427" spans="1:9" x14ac:dyDescent="0.45">
      <c r="A427" s="2">
        <v>27</v>
      </c>
      <c r="B427" s="2" t="s">
        <v>92</v>
      </c>
      <c r="C427" s="2" t="str">
        <f>VLOOKUP(B427,D.ファイターリスト!$B$5:$C$86,2,FALSE)</f>
        <v>M2</v>
      </c>
      <c r="D427" s="2">
        <v>14</v>
      </c>
      <c r="E427" s="2" t="s">
        <v>123</v>
      </c>
      <c r="F427" s="2" t="str">
        <f>VLOOKUP(E427,D.ファイターリスト!$B$5:$C$86,2,FALSE)</f>
        <v>ピチデ</v>
      </c>
      <c r="G427" s="2">
        <v>0</v>
      </c>
      <c r="H427" s="2">
        <v>0</v>
      </c>
      <c r="I427" s="2"/>
    </row>
    <row r="428" spans="1:9" x14ac:dyDescent="0.45">
      <c r="A428" s="2">
        <v>27</v>
      </c>
      <c r="B428" s="2" t="s">
        <v>92</v>
      </c>
      <c r="C428" s="2" t="str">
        <f>VLOOKUP(B428,D.ファイターリスト!$B$5:$C$86,2,FALSE)</f>
        <v>M2</v>
      </c>
      <c r="D428" s="2">
        <v>16</v>
      </c>
      <c r="E428" s="2" t="s">
        <v>5</v>
      </c>
      <c r="F428" s="2" t="str">
        <f>VLOOKUP(E428,D.ファイターリスト!$B$5:$C$86,2,FALSE)</f>
        <v>カメ</v>
      </c>
      <c r="G428" s="2">
        <v>1</v>
      </c>
      <c r="H428" s="2">
        <v>0</v>
      </c>
      <c r="I428" s="2"/>
    </row>
    <row r="429" spans="1:9" x14ac:dyDescent="0.45">
      <c r="A429" s="2">
        <v>27</v>
      </c>
      <c r="B429" s="2" t="s">
        <v>92</v>
      </c>
      <c r="C429" s="2" t="str">
        <f>VLOOKUP(B429,D.ファイターリスト!$B$5:$C$86,2,FALSE)</f>
        <v>M2</v>
      </c>
      <c r="D429" s="2">
        <v>17</v>
      </c>
      <c r="E429" s="2" t="s">
        <v>6</v>
      </c>
      <c r="F429" s="2" t="str">
        <f>VLOOKUP(E429,D.ファイターリスト!$B$5:$C$86,2,FALSE)</f>
        <v>アイクラ</v>
      </c>
      <c r="G429" s="2">
        <v>0</v>
      </c>
      <c r="H429" s="2">
        <v>0</v>
      </c>
      <c r="I429" s="2"/>
    </row>
    <row r="430" spans="1:9" x14ac:dyDescent="0.45">
      <c r="A430" s="2">
        <v>27</v>
      </c>
      <c r="B430" s="2" t="s">
        <v>92</v>
      </c>
      <c r="C430" s="2" t="str">
        <f>VLOOKUP(B430,D.ファイターリスト!$B$5:$C$86,2,FALSE)</f>
        <v>M2</v>
      </c>
      <c r="D430" s="2">
        <v>18</v>
      </c>
      <c r="E430" s="2" t="s">
        <v>7</v>
      </c>
      <c r="F430" s="2" t="str">
        <f>VLOOKUP(E430,D.ファイターリスト!$B$5:$C$86,2,FALSE)</f>
        <v>シーク</v>
      </c>
      <c r="G430" s="2">
        <v>0</v>
      </c>
      <c r="H430" s="2">
        <v>0</v>
      </c>
      <c r="I430" s="2"/>
    </row>
    <row r="431" spans="1:9" x14ac:dyDescent="0.45">
      <c r="A431" s="2">
        <v>27</v>
      </c>
      <c r="B431" s="2" t="s">
        <v>92</v>
      </c>
      <c r="C431" s="2" t="str">
        <f>VLOOKUP(B431,D.ファイターリスト!$B$5:$C$86,2,FALSE)</f>
        <v>M2</v>
      </c>
      <c r="D431" s="2">
        <v>19</v>
      </c>
      <c r="E431" s="2" t="s">
        <v>8</v>
      </c>
      <c r="F431" s="2" t="str">
        <f>VLOOKUP(E431,D.ファイターリスト!$B$5:$C$86,2,FALSE)</f>
        <v>ゼルダ</v>
      </c>
      <c r="G431" s="2">
        <v>0</v>
      </c>
      <c r="H431" s="2">
        <v>0</v>
      </c>
      <c r="I431" s="2"/>
    </row>
    <row r="432" spans="1:9" x14ac:dyDescent="0.45">
      <c r="A432" s="2">
        <v>27</v>
      </c>
      <c r="B432" s="2" t="s">
        <v>92</v>
      </c>
      <c r="C432" s="2" t="str">
        <f>VLOOKUP(B432,D.ファイターリスト!$B$5:$C$86,2,FALSE)</f>
        <v>M2</v>
      </c>
      <c r="D432" s="2">
        <v>20</v>
      </c>
      <c r="E432" s="2" t="s">
        <v>9</v>
      </c>
      <c r="F432" s="2" t="str">
        <f>VLOOKUP(E432,D.ファイターリスト!$B$5:$C$86,2,FALSE)</f>
        <v>ドクマリ</v>
      </c>
      <c r="G432" s="2">
        <v>0</v>
      </c>
      <c r="H432" s="2">
        <v>0</v>
      </c>
      <c r="I432" s="2"/>
    </row>
    <row r="433" spans="1:9" x14ac:dyDescent="0.45">
      <c r="A433" s="2">
        <v>27</v>
      </c>
      <c r="B433" s="2" t="s">
        <v>92</v>
      </c>
      <c r="C433" s="2" t="str">
        <f>VLOOKUP(B433,D.ファイターリスト!$B$5:$C$86,2,FALSE)</f>
        <v>M2</v>
      </c>
      <c r="D433" s="2">
        <v>21</v>
      </c>
      <c r="E433" s="2" t="s">
        <v>10</v>
      </c>
      <c r="F433" s="2" t="str">
        <f>VLOOKUP(E433,D.ファイターリスト!$B$5:$C$86,2,FALSE)</f>
        <v>ピチュー</v>
      </c>
      <c r="G433" s="2">
        <v>0</v>
      </c>
      <c r="H433" s="2">
        <v>0</v>
      </c>
      <c r="I433" s="2"/>
    </row>
    <row r="434" spans="1:9" x14ac:dyDescent="0.45">
      <c r="A434" s="2">
        <v>27</v>
      </c>
      <c r="B434" s="2" t="s">
        <v>92</v>
      </c>
      <c r="C434" s="2" t="str">
        <f>VLOOKUP(B434,D.ファイターリスト!$B$5:$C$86,2,FALSE)</f>
        <v>M2</v>
      </c>
      <c r="D434" s="2">
        <v>22</v>
      </c>
      <c r="E434" s="2" t="s">
        <v>11</v>
      </c>
      <c r="F434" s="2" t="str">
        <f>VLOOKUP(E434,D.ファイターリスト!$B$5:$C$86,2,FALSE)</f>
        <v>ファルコ</v>
      </c>
      <c r="G434" s="2">
        <v>0</v>
      </c>
      <c r="H434" s="2">
        <v>0</v>
      </c>
      <c r="I434" s="2"/>
    </row>
    <row r="435" spans="1:9" x14ac:dyDescent="0.45">
      <c r="A435" s="2">
        <v>27</v>
      </c>
      <c r="B435" s="2" t="s">
        <v>92</v>
      </c>
      <c r="C435" s="2" t="str">
        <f>VLOOKUP(B435,D.ファイターリスト!$B$5:$C$86,2,FALSE)</f>
        <v>M2</v>
      </c>
      <c r="D435" s="2">
        <v>23</v>
      </c>
      <c r="E435" s="2" t="s">
        <v>12</v>
      </c>
      <c r="F435" s="2" t="str">
        <f>VLOOKUP(E435,D.ファイターリスト!$B$5:$C$86,2,FALSE)</f>
        <v>マルス</v>
      </c>
      <c r="G435" s="2">
        <v>0</v>
      </c>
      <c r="H435" s="2">
        <v>0</v>
      </c>
      <c r="I435" s="2"/>
    </row>
    <row r="436" spans="1:9" x14ac:dyDescent="0.45">
      <c r="A436" s="2">
        <v>27</v>
      </c>
      <c r="B436" s="2" t="s">
        <v>92</v>
      </c>
      <c r="C436" s="2" t="str">
        <f>VLOOKUP(B436,D.ファイターリスト!$B$5:$C$86,2,FALSE)</f>
        <v>M2</v>
      </c>
      <c r="D436" s="2">
        <v>24</v>
      </c>
      <c r="E436" s="2" t="s">
        <v>13</v>
      </c>
      <c r="F436" s="2" t="str">
        <f>VLOOKUP(E436,D.ファイターリスト!$B$5:$C$86,2,FALSE)</f>
        <v>ルキナ</v>
      </c>
      <c r="G436" s="2">
        <v>0</v>
      </c>
      <c r="H436" s="2">
        <v>0</v>
      </c>
      <c r="I436" s="2"/>
    </row>
    <row r="437" spans="1:9" x14ac:dyDescent="0.45">
      <c r="A437" s="2">
        <v>27</v>
      </c>
      <c r="B437" s="2" t="s">
        <v>92</v>
      </c>
      <c r="C437" s="2" t="str">
        <f>VLOOKUP(B437,D.ファイターリスト!$B$5:$C$86,2,FALSE)</f>
        <v>M2</v>
      </c>
      <c r="D437" s="2">
        <v>25</v>
      </c>
      <c r="E437" s="2" t="s">
        <v>14</v>
      </c>
      <c r="F437" s="2" t="str">
        <f>VLOOKUP(E437,D.ファイターリスト!$B$5:$C$86,2,FALSE)</f>
        <v>ヤンリン</v>
      </c>
      <c r="G437" s="2">
        <v>0</v>
      </c>
      <c r="H437" s="2">
        <v>0</v>
      </c>
      <c r="I437" s="2"/>
    </row>
    <row r="438" spans="1:9" x14ac:dyDescent="0.45">
      <c r="A438" s="2">
        <v>27</v>
      </c>
      <c r="B438" s="2" t="s">
        <v>92</v>
      </c>
      <c r="C438" s="2" t="str">
        <f>VLOOKUP(B438,D.ファイターリスト!$B$5:$C$86,2,FALSE)</f>
        <v>M2</v>
      </c>
      <c r="D438" s="2">
        <v>26</v>
      </c>
      <c r="E438" s="2" t="s">
        <v>15</v>
      </c>
      <c r="F438" s="2" t="str">
        <f>VLOOKUP(E438,D.ファイターリスト!$B$5:$C$86,2,FALSE)</f>
        <v>ガノン</v>
      </c>
      <c r="G438" s="2">
        <v>3</v>
      </c>
      <c r="H438" s="2">
        <v>0</v>
      </c>
      <c r="I438" s="2"/>
    </row>
    <row r="439" spans="1:9" x14ac:dyDescent="0.45">
      <c r="A439" s="2">
        <v>27</v>
      </c>
      <c r="B439" s="2" t="s">
        <v>92</v>
      </c>
      <c r="C439" s="2" t="str">
        <f>VLOOKUP(B439,D.ファイターリスト!$B$5:$C$86,2,FALSE)</f>
        <v>M2</v>
      </c>
      <c r="D439" s="2">
        <v>27</v>
      </c>
      <c r="E439" s="2" t="s">
        <v>130</v>
      </c>
      <c r="F439" s="2" t="str">
        <f>VLOOKUP(E439,D.ファイターリスト!$B$5:$C$86,2,FALSE)</f>
        <v>M2</v>
      </c>
      <c r="G439" s="2">
        <v>0</v>
      </c>
      <c r="H439" s="2">
        <v>0</v>
      </c>
      <c r="I439" s="2"/>
    </row>
    <row r="440" spans="1:9" x14ac:dyDescent="0.45">
      <c r="A440" s="2">
        <v>27</v>
      </c>
      <c r="B440" s="2" t="s">
        <v>92</v>
      </c>
      <c r="C440" s="2" t="str">
        <f>VLOOKUP(B440,D.ファイターリスト!$B$5:$C$86,2,FALSE)</f>
        <v>M2</v>
      </c>
      <c r="D440" s="2">
        <v>28</v>
      </c>
      <c r="E440" s="2" t="s">
        <v>16</v>
      </c>
      <c r="F440" s="2" t="str">
        <f>VLOOKUP(E440,D.ファイターリスト!$B$5:$C$86,2,FALSE)</f>
        <v>ロイ</v>
      </c>
      <c r="G440" s="2">
        <v>0</v>
      </c>
      <c r="H440" s="2">
        <v>0</v>
      </c>
      <c r="I440" s="2"/>
    </row>
    <row r="441" spans="1:9" x14ac:dyDescent="0.45">
      <c r="A441" s="2">
        <v>27</v>
      </c>
      <c r="B441" s="2" t="s">
        <v>92</v>
      </c>
      <c r="C441" s="2" t="str">
        <f>VLOOKUP(B441,D.ファイターリスト!$B$5:$C$86,2,FALSE)</f>
        <v>M2</v>
      </c>
      <c r="D441" s="2">
        <v>29</v>
      </c>
      <c r="E441" s="2" t="s">
        <v>17</v>
      </c>
      <c r="F441" s="2" t="str">
        <f>VLOOKUP(E441,D.ファイターリスト!$B$5:$C$86,2,FALSE)</f>
        <v>クロム</v>
      </c>
      <c r="G441" s="2">
        <v>0</v>
      </c>
      <c r="H441" s="2">
        <v>0</v>
      </c>
      <c r="I441" s="2"/>
    </row>
    <row r="442" spans="1:9" x14ac:dyDescent="0.45">
      <c r="A442" s="2">
        <v>27</v>
      </c>
      <c r="B442" s="2" t="s">
        <v>92</v>
      </c>
      <c r="C442" s="2" t="str">
        <f>VLOOKUP(B442,D.ファイターリスト!$B$5:$C$86,2,FALSE)</f>
        <v>M2</v>
      </c>
      <c r="D442" s="2">
        <v>30</v>
      </c>
      <c r="E442" s="2" t="s">
        <v>132</v>
      </c>
      <c r="F442" s="2" t="str">
        <f>VLOOKUP(E442,D.ファイターリスト!$B$5:$C$86,2,FALSE)</f>
        <v>ゲッチ</v>
      </c>
      <c r="G442" s="2">
        <v>0</v>
      </c>
      <c r="H442" s="2">
        <v>0</v>
      </c>
      <c r="I442" s="2"/>
    </row>
    <row r="443" spans="1:9" x14ac:dyDescent="0.45">
      <c r="A443" s="2">
        <v>27</v>
      </c>
      <c r="B443" s="2" t="s">
        <v>92</v>
      </c>
      <c r="C443" s="2" t="str">
        <f>VLOOKUP(B443,D.ファイターリスト!$B$5:$C$86,2,FALSE)</f>
        <v>M2</v>
      </c>
      <c r="D443" s="2">
        <v>31</v>
      </c>
      <c r="E443" s="2" t="s">
        <v>18</v>
      </c>
      <c r="F443" s="2" t="str">
        <f>VLOOKUP(E443,D.ファイターリスト!$B$5:$C$86,2,FALSE)</f>
        <v>メタ</v>
      </c>
      <c r="G443" s="2">
        <v>0</v>
      </c>
      <c r="H443" s="2">
        <v>0</v>
      </c>
      <c r="I443" s="2"/>
    </row>
    <row r="444" spans="1:9" x14ac:dyDescent="0.45">
      <c r="A444" s="2">
        <v>27</v>
      </c>
      <c r="B444" s="2" t="s">
        <v>92</v>
      </c>
      <c r="C444" s="2" t="str">
        <f>VLOOKUP(B444,D.ファイターリスト!$B$5:$C$86,2,FALSE)</f>
        <v>M2</v>
      </c>
      <c r="D444" s="2">
        <v>32</v>
      </c>
      <c r="E444" s="2" t="s">
        <v>135</v>
      </c>
      <c r="F444" s="2" t="str">
        <f>VLOOKUP(E444,D.ファイターリスト!$B$5:$C$86,2,FALSE)</f>
        <v>ブラピ</v>
      </c>
      <c r="G444" s="2">
        <v>0</v>
      </c>
      <c r="H444" s="2">
        <v>0</v>
      </c>
      <c r="I444" s="2"/>
    </row>
    <row r="445" spans="1:9" x14ac:dyDescent="0.45">
      <c r="A445" s="2">
        <v>27</v>
      </c>
      <c r="B445" s="2" t="s">
        <v>92</v>
      </c>
      <c r="C445" s="2" t="str">
        <f>VLOOKUP(B445,D.ファイターリスト!$B$5:$C$86,2,FALSE)</f>
        <v>M2</v>
      </c>
      <c r="D445" s="2">
        <v>34</v>
      </c>
      <c r="E445" s="2" t="s">
        <v>19</v>
      </c>
      <c r="F445" s="2" t="str">
        <f>VLOOKUP(E445,D.ファイターリスト!$B$5:$C$86,2,FALSE)</f>
        <v>ゼロサム</v>
      </c>
      <c r="G445" s="2">
        <v>0</v>
      </c>
      <c r="H445" s="2">
        <v>0</v>
      </c>
      <c r="I445" s="2"/>
    </row>
    <row r="446" spans="1:9" x14ac:dyDescent="0.45">
      <c r="A446" s="2">
        <v>27</v>
      </c>
      <c r="B446" s="2" t="s">
        <v>92</v>
      </c>
      <c r="C446" s="2" t="str">
        <f>VLOOKUP(B446,D.ファイターリスト!$B$5:$C$86,2,FALSE)</f>
        <v>M2</v>
      </c>
      <c r="D446" s="2">
        <v>35</v>
      </c>
      <c r="E446" s="2" t="s">
        <v>20</v>
      </c>
      <c r="F446" s="2" t="str">
        <f>VLOOKUP(E446,D.ファイターリスト!$B$5:$C$86,2,FALSE)</f>
        <v>ワリオ</v>
      </c>
      <c r="G446" s="2">
        <v>0</v>
      </c>
      <c r="H446" s="2">
        <v>0</v>
      </c>
      <c r="I446" s="2"/>
    </row>
    <row r="447" spans="1:9" x14ac:dyDescent="0.45">
      <c r="A447" s="2">
        <v>27</v>
      </c>
      <c r="B447" s="2" t="s">
        <v>92</v>
      </c>
      <c r="C447" s="2" t="str">
        <f>VLOOKUP(B447,D.ファイターリスト!$B$5:$C$86,2,FALSE)</f>
        <v>M2</v>
      </c>
      <c r="D447" s="2">
        <v>36</v>
      </c>
      <c r="E447" s="2" t="s">
        <v>21</v>
      </c>
      <c r="F447" s="2" t="str">
        <f>VLOOKUP(E447,D.ファイターリスト!$B$5:$C$86,2,FALSE)</f>
        <v>スネーク</v>
      </c>
      <c r="G447" s="2">
        <v>0</v>
      </c>
      <c r="H447" s="2">
        <v>0</v>
      </c>
      <c r="I447" s="2"/>
    </row>
    <row r="448" spans="1:9" x14ac:dyDescent="0.45">
      <c r="A448" s="2">
        <v>27</v>
      </c>
      <c r="B448" s="2" t="s">
        <v>92</v>
      </c>
      <c r="C448" s="2" t="str">
        <f>VLOOKUP(B448,D.ファイターリスト!$B$5:$C$86,2,FALSE)</f>
        <v>M2</v>
      </c>
      <c r="D448" s="2">
        <v>37</v>
      </c>
      <c r="E448" s="2" t="s">
        <v>22</v>
      </c>
      <c r="F448" s="2" t="str">
        <f>VLOOKUP(E448,D.ファイターリスト!$B$5:$C$86,2,FALSE)</f>
        <v>アイクラ</v>
      </c>
      <c r="G448" s="2">
        <v>0</v>
      </c>
      <c r="H448" s="2">
        <v>0</v>
      </c>
      <c r="I448" s="2"/>
    </row>
    <row r="449" spans="1:9" x14ac:dyDescent="0.45">
      <c r="A449" s="2">
        <v>27</v>
      </c>
      <c r="B449" s="2" t="s">
        <v>92</v>
      </c>
      <c r="C449" s="2" t="str">
        <f>VLOOKUP(B449,D.ファイターリスト!$B$5:$C$86,2,FALSE)</f>
        <v>M2</v>
      </c>
      <c r="D449" s="2">
        <v>38</v>
      </c>
      <c r="E449" s="2" t="s">
        <v>23</v>
      </c>
      <c r="F449" s="2" t="str">
        <f>VLOOKUP(E449,D.ファイターリスト!$B$5:$C$86,2,FALSE)</f>
        <v>ポケトレ</v>
      </c>
      <c r="G449" s="2">
        <v>0</v>
      </c>
      <c r="H449" s="2">
        <v>0</v>
      </c>
      <c r="I449" s="2"/>
    </row>
    <row r="450" spans="1:9" x14ac:dyDescent="0.45">
      <c r="A450" s="2">
        <v>27</v>
      </c>
      <c r="B450" s="2" t="s">
        <v>92</v>
      </c>
      <c r="C450" s="2" t="str">
        <f>VLOOKUP(B450,D.ファイターリスト!$B$5:$C$86,2,FALSE)</f>
        <v>M2</v>
      </c>
      <c r="D450" s="2">
        <v>39</v>
      </c>
      <c r="E450" s="2" t="s">
        <v>24</v>
      </c>
      <c r="F450" s="2" t="str">
        <f>VLOOKUP(E450,D.ファイターリスト!$B$5:$C$86,2,FALSE)</f>
        <v>DD</v>
      </c>
      <c r="G450" s="2">
        <v>0</v>
      </c>
      <c r="H450" s="2">
        <v>0</v>
      </c>
      <c r="I450" s="2"/>
    </row>
    <row r="451" spans="1:9" x14ac:dyDescent="0.45">
      <c r="A451" s="2">
        <v>27</v>
      </c>
      <c r="B451" s="2" t="s">
        <v>92</v>
      </c>
      <c r="C451" s="2" t="str">
        <f>VLOOKUP(B451,D.ファイターリスト!$B$5:$C$86,2,FALSE)</f>
        <v>M2</v>
      </c>
      <c r="D451" s="2">
        <v>40</v>
      </c>
      <c r="E451" s="2" t="s">
        <v>25</v>
      </c>
      <c r="F451" s="2" t="str">
        <f>VLOOKUP(E451,D.ファイターリスト!$B$5:$C$86,2,FALSE)</f>
        <v>リュカ</v>
      </c>
      <c r="G451" s="2">
        <v>0</v>
      </c>
      <c r="H451" s="2">
        <v>0</v>
      </c>
      <c r="I451" s="2"/>
    </row>
    <row r="452" spans="1:9" x14ac:dyDescent="0.45">
      <c r="A452" s="2">
        <v>27</v>
      </c>
      <c r="B452" s="2" t="s">
        <v>92</v>
      </c>
      <c r="C452" s="2" t="str">
        <f>VLOOKUP(B452,D.ファイターリスト!$B$5:$C$86,2,FALSE)</f>
        <v>M2</v>
      </c>
      <c r="D452" s="2">
        <v>41</v>
      </c>
      <c r="E452" s="2" t="s">
        <v>26</v>
      </c>
      <c r="F452" s="2" t="str">
        <f>VLOOKUP(E452,D.ファイターリスト!$B$5:$C$86,2,FALSE)</f>
        <v>ソニック</v>
      </c>
      <c r="G452" s="2">
        <v>0</v>
      </c>
      <c r="H452" s="2">
        <v>0</v>
      </c>
      <c r="I452" s="2"/>
    </row>
    <row r="453" spans="1:9" x14ac:dyDescent="0.45">
      <c r="A453" s="2">
        <v>27</v>
      </c>
      <c r="B453" s="2" t="s">
        <v>92</v>
      </c>
      <c r="C453" s="2" t="str">
        <f>VLOOKUP(B453,D.ファイターリスト!$B$5:$C$86,2,FALSE)</f>
        <v>M2</v>
      </c>
      <c r="D453" s="2">
        <v>42</v>
      </c>
      <c r="E453" s="2" t="s">
        <v>27</v>
      </c>
      <c r="F453" s="2" t="str">
        <f>VLOOKUP(E453,D.ファイターリスト!$B$5:$C$86,2,FALSE)</f>
        <v>DDD</v>
      </c>
      <c r="G453" s="2">
        <v>0</v>
      </c>
      <c r="H453" s="2">
        <v>0</v>
      </c>
      <c r="I453" s="2"/>
    </row>
    <row r="454" spans="1:9" x14ac:dyDescent="0.45">
      <c r="A454" s="2">
        <v>27</v>
      </c>
      <c r="B454" s="2" t="s">
        <v>92</v>
      </c>
      <c r="C454" s="2" t="str">
        <f>VLOOKUP(B454,D.ファイターリスト!$B$5:$C$86,2,FALSE)</f>
        <v>M2</v>
      </c>
      <c r="D454" s="2">
        <v>43</v>
      </c>
      <c r="E454" s="2" t="s">
        <v>28</v>
      </c>
      <c r="F454" s="2" t="str">
        <f>VLOOKUP(E454,D.ファイターリスト!$B$5:$C$86,2,FALSE)</f>
        <v>ピクオリ</v>
      </c>
      <c r="G454" s="2">
        <v>0</v>
      </c>
      <c r="H454" s="2">
        <v>0</v>
      </c>
      <c r="I454" s="2"/>
    </row>
    <row r="455" spans="1:9" x14ac:dyDescent="0.45">
      <c r="A455" s="2">
        <v>27</v>
      </c>
      <c r="B455" s="2" t="s">
        <v>92</v>
      </c>
      <c r="C455" s="2" t="str">
        <f>VLOOKUP(B455,D.ファイターリスト!$B$5:$C$86,2,FALSE)</f>
        <v>M2</v>
      </c>
      <c r="D455" s="2">
        <v>44</v>
      </c>
      <c r="E455" s="2" t="s">
        <v>29</v>
      </c>
      <c r="F455" s="2" t="str">
        <f>VLOOKUP(E455,D.ファイターリスト!$B$5:$C$86,2,FALSE)</f>
        <v>ルカリオ</v>
      </c>
      <c r="G455" s="2">
        <v>0</v>
      </c>
      <c r="H455" s="2">
        <v>0</v>
      </c>
      <c r="I455" s="2"/>
    </row>
    <row r="456" spans="1:9" x14ac:dyDescent="0.45">
      <c r="A456" s="2">
        <v>27</v>
      </c>
      <c r="B456" s="2" t="s">
        <v>92</v>
      </c>
      <c r="C456" s="2" t="str">
        <f>VLOOKUP(B456,D.ファイターリスト!$B$5:$C$86,2,FALSE)</f>
        <v>M2</v>
      </c>
      <c r="D456" s="2">
        <v>45</v>
      </c>
      <c r="E456" s="2" t="s">
        <v>30</v>
      </c>
      <c r="F456" s="2" t="str">
        <f>VLOOKUP(E456,D.ファイターリスト!$B$5:$C$86,2,FALSE)</f>
        <v>ロボット</v>
      </c>
      <c r="G456" s="2">
        <v>0</v>
      </c>
      <c r="H456" s="2">
        <v>0</v>
      </c>
      <c r="I456" s="2"/>
    </row>
    <row r="457" spans="1:9" x14ac:dyDescent="0.45">
      <c r="A457" s="2">
        <v>27</v>
      </c>
      <c r="B457" s="2" t="s">
        <v>92</v>
      </c>
      <c r="C457" s="2" t="str">
        <f>VLOOKUP(B457,D.ファイターリスト!$B$5:$C$86,2,FALSE)</f>
        <v>M2</v>
      </c>
      <c r="D457" s="2">
        <v>46</v>
      </c>
      <c r="E457" s="2" t="s">
        <v>31</v>
      </c>
      <c r="F457" s="2" t="str">
        <f>VLOOKUP(E457,D.ファイターリスト!$B$5:$C$86,2,FALSE)</f>
        <v>トリン</v>
      </c>
      <c r="G457" s="2">
        <v>0</v>
      </c>
      <c r="H457" s="2">
        <v>0</v>
      </c>
      <c r="I457" s="2"/>
    </row>
    <row r="458" spans="1:9" x14ac:dyDescent="0.45">
      <c r="A458" s="2">
        <v>27</v>
      </c>
      <c r="B458" s="2" t="s">
        <v>92</v>
      </c>
      <c r="C458" s="2" t="str">
        <f>VLOOKUP(B458,D.ファイターリスト!$B$5:$C$86,2,FALSE)</f>
        <v>M2</v>
      </c>
      <c r="D458" s="2">
        <v>47</v>
      </c>
      <c r="E458" s="2" t="s">
        <v>32</v>
      </c>
      <c r="F458" s="2" t="str">
        <f>VLOOKUP(E458,D.ファイターリスト!$B$5:$C$86,2,FALSE)</f>
        <v>ウルフ</v>
      </c>
      <c r="G458" s="2">
        <v>0</v>
      </c>
      <c r="H458" s="2">
        <v>1</v>
      </c>
      <c r="I458" s="2"/>
    </row>
    <row r="459" spans="1:9" x14ac:dyDescent="0.45">
      <c r="A459" s="2">
        <v>27</v>
      </c>
      <c r="B459" s="2" t="s">
        <v>92</v>
      </c>
      <c r="C459" s="2" t="str">
        <f>VLOOKUP(B459,D.ファイターリスト!$B$5:$C$86,2,FALSE)</f>
        <v>M2</v>
      </c>
      <c r="D459" s="2">
        <v>48</v>
      </c>
      <c r="E459" s="2" t="s">
        <v>33</v>
      </c>
      <c r="F459" s="2" t="str">
        <f>VLOOKUP(E459,D.ファイターリスト!$B$5:$C$86,2,FALSE)</f>
        <v>むらびと</v>
      </c>
      <c r="G459" s="2">
        <v>0</v>
      </c>
      <c r="H459" s="2">
        <v>0</v>
      </c>
      <c r="I459" s="2"/>
    </row>
    <row r="460" spans="1:9" x14ac:dyDescent="0.45">
      <c r="A460" s="2">
        <v>27</v>
      </c>
      <c r="B460" s="2" t="s">
        <v>92</v>
      </c>
      <c r="C460" s="2" t="str">
        <f>VLOOKUP(B460,D.ファイターリスト!$B$5:$C$86,2,FALSE)</f>
        <v>M2</v>
      </c>
      <c r="D460" s="2">
        <v>49</v>
      </c>
      <c r="E460" s="2" t="s">
        <v>34</v>
      </c>
      <c r="F460" s="2" t="str">
        <f>VLOOKUP(E460,D.ファイターリスト!$B$5:$C$86,2,FALSE)</f>
        <v>岩</v>
      </c>
      <c r="G460" s="2">
        <v>0</v>
      </c>
      <c r="H460" s="2">
        <v>0</v>
      </c>
      <c r="I460" s="2"/>
    </row>
    <row r="461" spans="1:9" x14ac:dyDescent="0.45">
      <c r="A461" s="2">
        <v>27</v>
      </c>
      <c r="B461" s="2" t="s">
        <v>92</v>
      </c>
      <c r="C461" s="2" t="str">
        <f>VLOOKUP(B461,D.ファイターリスト!$B$5:$C$86,2,FALSE)</f>
        <v>M2</v>
      </c>
      <c r="D461" s="2">
        <v>50</v>
      </c>
      <c r="E461" s="2" t="s">
        <v>35</v>
      </c>
      <c r="F461" s="2" t="str">
        <f>VLOOKUP(E461,D.ファイターリスト!$B$5:$C$86,2,FALSE)</f>
        <v>フィットレ</v>
      </c>
      <c r="G461" s="2">
        <v>0</v>
      </c>
      <c r="H461" s="2">
        <v>0</v>
      </c>
      <c r="I461" s="2"/>
    </row>
    <row r="462" spans="1:9" x14ac:dyDescent="0.45">
      <c r="A462" s="2">
        <v>27</v>
      </c>
      <c r="B462" s="2" t="s">
        <v>92</v>
      </c>
      <c r="C462" s="2" t="str">
        <f>VLOOKUP(B462,D.ファイターリスト!$B$5:$C$86,2,FALSE)</f>
        <v>M2</v>
      </c>
      <c r="D462" s="2">
        <v>51</v>
      </c>
      <c r="E462" s="2" t="s">
        <v>36</v>
      </c>
      <c r="F462" s="2" t="str">
        <f>VLOOKUP(E462,D.ファイターリスト!$B$5:$C$86,2,FALSE)</f>
        <v>ロゼチコ</v>
      </c>
      <c r="G462" s="2">
        <v>0</v>
      </c>
      <c r="H462" s="2">
        <v>0</v>
      </c>
      <c r="I462" s="2"/>
    </row>
    <row r="463" spans="1:9" x14ac:dyDescent="0.45">
      <c r="A463" s="2">
        <v>27</v>
      </c>
      <c r="B463" s="2" t="s">
        <v>92</v>
      </c>
      <c r="C463" s="2" t="str">
        <f>VLOOKUP(B463,D.ファイターリスト!$B$5:$C$86,2,FALSE)</f>
        <v>M2</v>
      </c>
      <c r="D463" s="2">
        <v>52</v>
      </c>
      <c r="E463" s="2" t="s">
        <v>37</v>
      </c>
      <c r="F463" s="2" t="str">
        <f>VLOOKUP(E463,D.ファイターリスト!$B$5:$C$86,2,FALSE)</f>
        <v>リトマ</v>
      </c>
      <c r="G463" s="2">
        <v>1</v>
      </c>
      <c r="H463" s="2">
        <v>0</v>
      </c>
      <c r="I463" s="2"/>
    </row>
    <row r="464" spans="1:9" x14ac:dyDescent="0.45">
      <c r="A464" s="2">
        <v>27</v>
      </c>
      <c r="B464" s="2" t="s">
        <v>92</v>
      </c>
      <c r="C464" s="2" t="str">
        <f>VLOOKUP(B464,D.ファイターリスト!$B$5:$C$86,2,FALSE)</f>
        <v>M2</v>
      </c>
      <c r="D464" s="2">
        <v>53</v>
      </c>
      <c r="E464" s="2" t="s">
        <v>38</v>
      </c>
      <c r="F464" s="2" t="str">
        <f>VLOOKUP(E464,D.ファイターリスト!$B$5:$C$86,2,FALSE)</f>
        <v>ゲコ</v>
      </c>
      <c r="G464" s="2">
        <v>0</v>
      </c>
      <c r="H464" s="2">
        <v>0</v>
      </c>
      <c r="I464" s="2"/>
    </row>
    <row r="465" spans="1:9" x14ac:dyDescent="0.45">
      <c r="A465" s="2">
        <v>27</v>
      </c>
      <c r="B465" s="2" t="s">
        <v>92</v>
      </c>
      <c r="C465" s="2" t="str">
        <f>VLOOKUP(B465,D.ファイターリスト!$B$5:$C$86,2,FALSE)</f>
        <v>M2</v>
      </c>
      <c r="D465" s="2">
        <v>54</v>
      </c>
      <c r="E465" s="2" t="s">
        <v>39</v>
      </c>
      <c r="F465" s="2" t="str">
        <f>VLOOKUP(E465,D.ファイターリスト!$B$5:$C$86,2,FALSE)</f>
        <v>カクミ</v>
      </c>
      <c r="G465" s="2">
        <v>0</v>
      </c>
      <c r="H465" s="2">
        <v>0</v>
      </c>
      <c r="I465" s="2"/>
    </row>
    <row r="466" spans="1:9" x14ac:dyDescent="0.45">
      <c r="A466" s="2">
        <v>27</v>
      </c>
      <c r="B466" s="2" t="s">
        <v>92</v>
      </c>
      <c r="C466" s="2" t="str">
        <f>VLOOKUP(B466,D.ファイターリスト!$B$5:$C$86,2,FALSE)</f>
        <v>M2</v>
      </c>
      <c r="D466" s="2">
        <v>55</v>
      </c>
      <c r="E466" s="2" t="s">
        <v>40</v>
      </c>
      <c r="F466" s="2" t="str">
        <f>VLOOKUP(E466,D.ファイターリスト!$B$5:$C$86,2,FALSE)</f>
        <v>ケンミ</v>
      </c>
      <c r="G466" s="2">
        <v>0</v>
      </c>
      <c r="H466" s="2">
        <v>0</v>
      </c>
      <c r="I466" s="2"/>
    </row>
    <row r="467" spans="1:9" x14ac:dyDescent="0.45">
      <c r="A467" s="2">
        <v>27</v>
      </c>
      <c r="B467" s="2" t="s">
        <v>92</v>
      </c>
      <c r="C467" s="2" t="str">
        <f>VLOOKUP(B467,D.ファイターリスト!$B$5:$C$86,2,FALSE)</f>
        <v>M2</v>
      </c>
      <c r="D467" s="2">
        <v>56</v>
      </c>
      <c r="E467" s="2" t="s">
        <v>41</v>
      </c>
      <c r="F467" s="2" t="str">
        <f>VLOOKUP(E467,D.ファイターリスト!$B$5:$C$86,2,FALSE)</f>
        <v>シャゲミ</v>
      </c>
      <c r="G467" s="2">
        <v>0</v>
      </c>
      <c r="H467" s="2">
        <v>0</v>
      </c>
      <c r="I467" s="2"/>
    </row>
    <row r="468" spans="1:9" x14ac:dyDescent="0.45">
      <c r="A468" s="2">
        <v>27</v>
      </c>
      <c r="B468" s="2" t="s">
        <v>92</v>
      </c>
      <c r="C468" s="2" t="str">
        <f>VLOOKUP(B468,D.ファイターリスト!$B$5:$C$86,2,FALSE)</f>
        <v>M2</v>
      </c>
      <c r="D468" s="2">
        <v>57</v>
      </c>
      <c r="E468" s="2" t="s">
        <v>42</v>
      </c>
      <c r="F468" s="2" t="str">
        <f>VLOOKUP(E468,D.ファイターリスト!$B$5:$C$86,2,FALSE)</f>
        <v>パルテナ</v>
      </c>
      <c r="G468" s="2">
        <v>1</v>
      </c>
      <c r="H468" s="2">
        <v>0</v>
      </c>
      <c r="I468" s="2"/>
    </row>
    <row r="469" spans="1:9" x14ac:dyDescent="0.45">
      <c r="A469" s="2">
        <v>27</v>
      </c>
      <c r="B469" s="2" t="s">
        <v>92</v>
      </c>
      <c r="C469" s="2" t="str">
        <f>VLOOKUP(B469,D.ファイターリスト!$B$5:$C$86,2,FALSE)</f>
        <v>M2</v>
      </c>
      <c r="D469" s="2">
        <v>58</v>
      </c>
      <c r="E469" s="2" t="s">
        <v>43</v>
      </c>
      <c r="F469" s="2" t="str">
        <f>VLOOKUP(E469,D.ファイターリスト!$B$5:$C$86,2,FALSE)</f>
        <v>金玉</v>
      </c>
      <c r="G469" s="2">
        <v>0</v>
      </c>
      <c r="H469" s="2">
        <v>0</v>
      </c>
      <c r="I469" s="2"/>
    </row>
    <row r="470" spans="1:9" x14ac:dyDescent="0.45">
      <c r="A470" s="2">
        <v>27</v>
      </c>
      <c r="B470" s="2" t="s">
        <v>92</v>
      </c>
      <c r="C470" s="2" t="str">
        <f>VLOOKUP(B470,D.ファイターリスト!$B$5:$C$86,2,FALSE)</f>
        <v>M2</v>
      </c>
      <c r="D470" s="2">
        <v>59</v>
      </c>
      <c r="E470" s="2" t="s">
        <v>44</v>
      </c>
      <c r="F470" s="2" t="str">
        <f>VLOOKUP(E470,D.ファイターリスト!$B$5:$C$86,2,FALSE)</f>
        <v>ルフレ</v>
      </c>
      <c r="G470" s="2">
        <v>0</v>
      </c>
      <c r="H470" s="2">
        <v>0</v>
      </c>
      <c r="I470" s="2"/>
    </row>
    <row r="471" spans="1:9" x14ac:dyDescent="0.45">
      <c r="A471" s="2">
        <v>27</v>
      </c>
      <c r="B471" s="2" t="s">
        <v>92</v>
      </c>
      <c r="C471" s="2" t="str">
        <f>VLOOKUP(B471,D.ファイターリスト!$B$5:$C$86,2,FALSE)</f>
        <v>M2</v>
      </c>
      <c r="D471" s="2">
        <v>60</v>
      </c>
      <c r="E471" s="2" t="s">
        <v>45</v>
      </c>
      <c r="F471" s="2" t="str">
        <f>VLOOKUP(E471,D.ファイターリスト!$B$5:$C$86,2,FALSE)</f>
        <v>手越</v>
      </c>
      <c r="G471" s="2">
        <v>0</v>
      </c>
      <c r="H471" s="2">
        <v>0</v>
      </c>
      <c r="I471" s="2"/>
    </row>
    <row r="472" spans="1:9" x14ac:dyDescent="0.45">
      <c r="A472" s="2">
        <v>27</v>
      </c>
      <c r="B472" s="2" t="s">
        <v>92</v>
      </c>
      <c r="C472" s="2" t="str">
        <f>VLOOKUP(B472,D.ファイターリスト!$B$5:$C$86,2,FALSE)</f>
        <v>M2</v>
      </c>
      <c r="D472" s="2">
        <v>61</v>
      </c>
      <c r="E472" s="2" t="s">
        <v>46</v>
      </c>
      <c r="F472" s="2" t="str">
        <f>VLOOKUP(E472,D.ファイターリスト!$B$5:$C$86,2,FALSE)</f>
        <v>パジュニ</v>
      </c>
      <c r="G472" s="2">
        <v>0</v>
      </c>
      <c r="H472" s="2">
        <v>0</v>
      </c>
      <c r="I472" s="2"/>
    </row>
    <row r="473" spans="1:9" x14ac:dyDescent="0.45">
      <c r="A473" s="2">
        <v>27</v>
      </c>
      <c r="B473" s="2" t="s">
        <v>92</v>
      </c>
      <c r="C473" s="2" t="str">
        <f>VLOOKUP(B473,D.ファイターリスト!$B$5:$C$86,2,FALSE)</f>
        <v>M2</v>
      </c>
      <c r="D473" s="2">
        <v>62</v>
      </c>
      <c r="E473" s="2" t="s">
        <v>47</v>
      </c>
      <c r="F473" s="2" t="str">
        <f>VLOOKUP(E473,D.ファイターリスト!$B$5:$C$86,2,FALSE)</f>
        <v>犬</v>
      </c>
      <c r="G473" s="2">
        <v>0</v>
      </c>
      <c r="H473" s="2">
        <v>1</v>
      </c>
      <c r="I473" s="2"/>
    </row>
    <row r="474" spans="1:9" x14ac:dyDescent="0.45">
      <c r="A474" s="2">
        <v>27</v>
      </c>
      <c r="B474" s="2" t="s">
        <v>92</v>
      </c>
      <c r="C474" s="2" t="str">
        <f>VLOOKUP(B474,D.ファイターリスト!$B$5:$C$86,2,FALSE)</f>
        <v>M2</v>
      </c>
      <c r="D474" s="2">
        <v>63</v>
      </c>
      <c r="E474" s="2" t="s">
        <v>48</v>
      </c>
      <c r="F474" s="2" t="str">
        <f>VLOOKUP(E474,D.ファイターリスト!$B$5:$C$86,2,FALSE)</f>
        <v>リュウ</v>
      </c>
      <c r="G474" s="2">
        <v>0</v>
      </c>
      <c r="H474" s="2">
        <v>0</v>
      </c>
      <c r="I474" s="2"/>
    </row>
    <row r="475" spans="1:9" x14ac:dyDescent="0.45">
      <c r="A475" s="2">
        <v>27</v>
      </c>
      <c r="B475" s="2" t="s">
        <v>92</v>
      </c>
      <c r="C475" s="2" t="str">
        <f>VLOOKUP(B475,D.ファイターリスト!$B$5:$C$86,2,FALSE)</f>
        <v>M2</v>
      </c>
      <c r="D475" s="2">
        <v>64</v>
      </c>
      <c r="E475" s="2" t="s">
        <v>49</v>
      </c>
      <c r="F475" s="2" t="str">
        <f>VLOOKUP(E475,D.ファイターリスト!$B$5:$C$86,2,FALSE)</f>
        <v>剣</v>
      </c>
      <c r="G475" s="2">
        <v>0</v>
      </c>
      <c r="H475" s="2">
        <v>0</v>
      </c>
      <c r="I475" s="2"/>
    </row>
    <row r="476" spans="1:9" x14ac:dyDescent="0.45">
      <c r="A476" s="2">
        <v>27</v>
      </c>
      <c r="B476" s="2" t="s">
        <v>92</v>
      </c>
      <c r="C476" s="2" t="str">
        <f>VLOOKUP(B476,D.ファイターリスト!$B$5:$C$86,2,FALSE)</f>
        <v>M2</v>
      </c>
      <c r="D476" s="2">
        <v>65</v>
      </c>
      <c r="E476" s="2" t="s">
        <v>50</v>
      </c>
      <c r="F476" s="2" t="str">
        <f>VLOOKUP(E476,D.ファイターリスト!$B$5:$C$86,2,FALSE)</f>
        <v>クラウド</v>
      </c>
      <c r="G476" s="2">
        <v>0</v>
      </c>
      <c r="H476" s="2">
        <v>0</v>
      </c>
      <c r="I476" s="2"/>
    </row>
    <row r="477" spans="1:9" x14ac:dyDescent="0.45">
      <c r="A477" s="2">
        <v>27</v>
      </c>
      <c r="B477" s="2" t="s">
        <v>92</v>
      </c>
      <c r="C477" s="2" t="str">
        <f>VLOOKUP(B477,D.ファイターリスト!$B$5:$C$86,2,FALSE)</f>
        <v>M2</v>
      </c>
      <c r="D477" s="2">
        <v>66</v>
      </c>
      <c r="E477" s="2" t="s">
        <v>51</v>
      </c>
      <c r="F477" s="2" t="str">
        <f>VLOOKUP(E477,D.ファイターリスト!$B$5:$C$86,2,FALSE)</f>
        <v>カムイ</v>
      </c>
      <c r="G477" s="2">
        <v>0</v>
      </c>
      <c r="H477" s="2">
        <v>0</v>
      </c>
      <c r="I477" s="2"/>
    </row>
    <row r="478" spans="1:9" x14ac:dyDescent="0.45">
      <c r="A478" s="2">
        <v>27</v>
      </c>
      <c r="B478" s="2" t="s">
        <v>92</v>
      </c>
      <c r="C478" s="2" t="str">
        <f>VLOOKUP(B478,D.ファイターリスト!$B$5:$C$86,2,FALSE)</f>
        <v>M2</v>
      </c>
      <c r="D478" s="2">
        <v>67</v>
      </c>
      <c r="E478" s="2" t="s">
        <v>52</v>
      </c>
      <c r="F478" s="2" t="str">
        <f>VLOOKUP(E478,D.ファイターリスト!$B$5:$C$86,2,FALSE)</f>
        <v>ベヨネッタ</v>
      </c>
      <c r="G478" s="2">
        <v>0</v>
      </c>
      <c r="H478" s="2">
        <v>0</v>
      </c>
      <c r="I478" s="2"/>
    </row>
    <row r="479" spans="1:9" x14ac:dyDescent="0.45">
      <c r="A479" s="2">
        <v>27</v>
      </c>
      <c r="B479" s="2" t="s">
        <v>92</v>
      </c>
      <c r="C479" s="2" t="str">
        <f>VLOOKUP(B479,D.ファイターリスト!$B$5:$C$86,2,FALSE)</f>
        <v>M2</v>
      </c>
      <c r="D479" s="2">
        <v>68</v>
      </c>
      <c r="E479" s="2" t="s">
        <v>53</v>
      </c>
      <c r="F479" s="2" t="str">
        <f>VLOOKUP(E479,D.ファイターリスト!$B$5:$C$86,2,FALSE)</f>
        <v>イカ</v>
      </c>
      <c r="G479" s="2">
        <v>0</v>
      </c>
      <c r="H479" s="2">
        <v>0</v>
      </c>
      <c r="I479" s="2"/>
    </row>
    <row r="480" spans="1:9" x14ac:dyDescent="0.45">
      <c r="A480" s="2">
        <v>27</v>
      </c>
      <c r="B480" s="2" t="s">
        <v>92</v>
      </c>
      <c r="C480" s="2" t="str">
        <f>VLOOKUP(B480,D.ファイターリスト!$B$5:$C$86,2,FALSE)</f>
        <v>M2</v>
      </c>
      <c r="D480" s="2">
        <v>69</v>
      </c>
      <c r="E480" s="2" t="s">
        <v>54</v>
      </c>
      <c r="F480" s="2" t="str">
        <f>VLOOKUP(E480,D.ファイターリスト!$B$5:$C$86,2,FALSE)</f>
        <v>リドリー</v>
      </c>
      <c r="G480" s="2">
        <v>0</v>
      </c>
      <c r="H480" s="2">
        <v>0</v>
      </c>
      <c r="I480" s="2"/>
    </row>
    <row r="481" spans="1:9" x14ac:dyDescent="0.45">
      <c r="A481" s="2">
        <v>27</v>
      </c>
      <c r="B481" s="2" t="s">
        <v>92</v>
      </c>
      <c r="C481" s="2" t="str">
        <f>VLOOKUP(B481,D.ファイターリスト!$B$5:$C$86,2,FALSE)</f>
        <v>M2</v>
      </c>
      <c r="D481" s="2">
        <v>70</v>
      </c>
      <c r="E481" s="2" t="s">
        <v>151</v>
      </c>
      <c r="F481" s="2" t="str">
        <f>VLOOKUP(E481,D.ファイターリスト!$B$5:$C$86,2,FALSE)</f>
        <v>シモリヒ</v>
      </c>
      <c r="G481" s="2">
        <v>0</v>
      </c>
      <c r="H481" s="2">
        <v>1</v>
      </c>
      <c r="I481" s="2"/>
    </row>
    <row r="482" spans="1:9" x14ac:dyDescent="0.45">
      <c r="A482" s="2">
        <v>27</v>
      </c>
      <c r="B482" s="2" t="s">
        <v>92</v>
      </c>
      <c r="C482" s="2" t="str">
        <f>VLOOKUP(B482,D.ファイターリスト!$B$5:$C$86,2,FALSE)</f>
        <v>M2</v>
      </c>
      <c r="D482" s="2">
        <v>72</v>
      </c>
      <c r="E482" s="2" t="s">
        <v>55</v>
      </c>
      <c r="F482" s="2" t="str">
        <f>VLOOKUP(E482,D.ファイターリスト!$B$5:$C$86,2,FALSE)</f>
        <v>キンクル</v>
      </c>
      <c r="G482" s="2">
        <v>0</v>
      </c>
      <c r="H482" s="2">
        <v>0</v>
      </c>
      <c r="I482" s="2"/>
    </row>
    <row r="483" spans="1:9" x14ac:dyDescent="0.45">
      <c r="A483" s="2">
        <v>27</v>
      </c>
      <c r="B483" s="2" t="s">
        <v>92</v>
      </c>
      <c r="C483" s="2" t="str">
        <f>VLOOKUP(B483,D.ファイターリスト!$B$5:$C$86,2,FALSE)</f>
        <v>M2</v>
      </c>
      <c r="D483" s="2">
        <v>73</v>
      </c>
      <c r="E483" s="2" t="s">
        <v>56</v>
      </c>
      <c r="F483" s="2" t="str">
        <f>VLOOKUP(E483,D.ファイターリスト!$B$5:$C$86,2,FALSE)</f>
        <v>しずえ</v>
      </c>
      <c r="G483" s="2">
        <v>0</v>
      </c>
      <c r="H483" s="2">
        <v>0</v>
      </c>
      <c r="I483" s="2"/>
    </row>
    <row r="484" spans="1:9" x14ac:dyDescent="0.45">
      <c r="A484" s="2">
        <v>27</v>
      </c>
      <c r="B484" s="2" t="s">
        <v>92</v>
      </c>
      <c r="C484" s="2" t="str">
        <f>VLOOKUP(B484,D.ファイターリスト!$B$5:$C$86,2,FALSE)</f>
        <v>M2</v>
      </c>
      <c r="D484" s="2">
        <v>74</v>
      </c>
      <c r="E484" s="2" t="s">
        <v>57</v>
      </c>
      <c r="F484" s="2" t="str">
        <f>VLOOKUP(E484,D.ファイターリスト!$B$5:$C$86,2,FALSE)</f>
        <v>ガエン</v>
      </c>
      <c r="G484" s="2">
        <v>0</v>
      </c>
      <c r="H484" s="2">
        <v>0</v>
      </c>
      <c r="I484" s="2"/>
    </row>
    <row r="485" spans="1:9" x14ac:dyDescent="0.45">
      <c r="A485" s="2">
        <v>27</v>
      </c>
      <c r="B485" s="2" t="s">
        <v>92</v>
      </c>
      <c r="C485" s="2" t="str">
        <f>VLOOKUP(B485,D.ファイターリスト!$B$5:$C$86,2,FALSE)</f>
        <v>M2</v>
      </c>
      <c r="D485" s="2">
        <v>75</v>
      </c>
      <c r="E485" s="2" t="s">
        <v>58</v>
      </c>
      <c r="F485" s="2" t="str">
        <f>VLOOKUP(E485,D.ファイターリスト!$B$5:$C$86,2,FALSE)</f>
        <v>草</v>
      </c>
      <c r="G485" s="2">
        <v>0</v>
      </c>
      <c r="H485" s="2">
        <v>0</v>
      </c>
      <c r="I485" s="2"/>
    </row>
    <row r="486" spans="1:9" x14ac:dyDescent="0.45">
      <c r="A486" s="2">
        <v>27</v>
      </c>
      <c r="B486" s="2" t="s">
        <v>92</v>
      </c>
      <c r="C486" s="2" t="str">
        <f>VLOOKUP(B486,D.ファイターリスト!$B$5:$C$86,2,FALSE)</f>
        <v>M2</v>
      </c>
      <c r="D486" s="2">
        <v>76</v>
      </c>
      <c r="E486" s="2" t="s">
        <v>59</v>
      </c>
      <c r="F486" s="2" t="str">
        <f>VLOOKUP(E486,D.ファイターリスト!$B$5:$C$86,2,FALSE)</f>
        <v>J</v>
      </c>
      <c r="G486" s="2">
        <v>0</v>
      </c>
      <c r="H486" s="2">
        <v>0</v>
      </c>
      <c r="I486" s="2"/>
    </row>
    <row r="487" spans="1:9" x14ac:dyDescent="0.45">
      <c r="A487" s="2">
        <v>27</v>
      </c>
      <c r="B487" s="2" t="s">
        <v>92</v>
      </c>
      <c r="C487" s="2" t="str">
        <f>VLOOKUP(B487,D.ファイターリスト!$B$5:$C$86,2,FALSE)</f>
        <v>M2</v>
      </c>
      <c r="D487" s="2">
        <v>77</v>
      </c>
      <c r="E487" s="2" t="s">
        <v>60</v>
      </c>
      <c r="F487" s="2" t="str">
        <f>VLOOKUP(E487,D.ファイターリスト!$B$5:$C$86,2,FALSE)</f>
        <v>勇者</v>
      </c>
      <c r="G487" s="2">
        <v>0</v>
      </c>
      <c r="H487" s="2">
        <v>0</v>
      </c>
      <c r="I487" s="2"/>
    </row>
    <row r="488" spans="1:9" x14ac:dyDescent="0.45">
      <c r="A488" s="2">
        <v>27</v>
      </c>
      <c r="B488" s="2" t="s">
        <v>92</v>
      </c>
      <c r="C488" s="2" t="str">
        <f>VLOOKUP(B488,D.ファイターリスト!$B$5:$C$86,2,FALSE)</f>
        <v>M2</v>
      </c>
      <c r="D488" s="2">
        <v>78</v>
      </c>
      <c r="E488" s="2" t="s">
        <v>61</v>
      </c>
      <c r="F488" s="2" t="str">
        <f>VLOOKUP(E488,D.ファイターリスト!$B$5:$C$86,2,FALSE)</f>
        <v>バンカズ</v>
      </c>
      <c r="G488" s="2">
        <v>0</v>
      </c>
      <c r="H488" s="2">
        <v>0</v>
      </c>
      <c r="I488" s="2"/>
    </row>
    <row r="489" spans="1:9" x14ac:dyDescent="0.45">
      <c r="A489" s="2">
        <v>27</v>
      </c>
      <c r="B489" s="2" t="s">
        <v>92</v>
      </c>
      <c r="C489" s="2" t="str">
        <f>VLOOKUP(B489,D.ファイターリスト!$B$5:$C$86,2,FALSE)</f>
        <v>M2</v>
      </c>
      <c r="D489" s="2">
        <v>79</v>
      </c>
      <c r="E489" s="2" t="s">
        <v>62</v>
      </c>
      <c r="F489" s="2" t="str">
        <f>VLOOKUP(E489,D.ファイターリスト!$B$5:$C$86,2,FALSE)</f>
        <v>テリー</v>
      </c>
      <c r="G489" s="2">
        <v>0</v>
      </c>
      <c r="H489" s="2">
        <v>0</v>
      </c>
      <c r="I489" s="2"/>
    </row>
    <row r="490" spans="1:9" x14ac:dyDescent="0.45">
      <c r="A490" s="2">
        <v>27</v>
      </c>
      <c r="B490" s="2" t="s">
        <v>92</v>
      </c>
      <c r="C490" s="2" t="str">
        <f>VLOOKUP(B490,D.ファイターリスト!$B$5:$C$86,2,FALSE)</f>
        <v>M2</v>
      </c>
      <c r="D490" s="2">
        <v>80</v>
      </c>
      <c r="E490" s="2" t="s">
        <v>63</v>
      </c>
      <c r="F490" s="2" t="str">
        <f>VLOOKUP(E490,D.ファイターリスト!$B$5:$C$86,2,FALSE)</f>
        <v>ベレトス</v>
      </c>
      <c r="G490" s="2">
        <v>0</v>
      </c>
      <c r="H490" s="2">
        <v>0</v>
      </c>
      <c r="I490" s="2"/>
    </row>
    <row r="491" spans="1:9" x14ac:dyDescent="0.45">
      <c r="A491" s="2">
        <v>27</v>
      </c>
      <c r="B491" s="2" t="s">
        <v>92</v>
      </c>
      <c r="C491" s="2" t="str">
        <f>VLOOKUP(B491,D.ファイターリスト!$B$5:$C$86,2,FALSE)</f>
        <v>M2</v>
      </c>
      <c r="D491" s="2">
        <v>81</v>
      </c>
      <c r="E491" s="2" t="s">
        <v>64</v>
      </c>
      <c r="F491" s="2" t="str">
        <f>VLOOKUP(E491,D.ファイターリスト!$B$5:$C$86,2,FALSE)</f>
        <v>メン</v>
      </c>
      <c r="G491" s="2">
        <v>0</v>
      </c>
      <c r="H491" s="2">
        <v>0</v>
      </c>
      <c r="I491" s="2"/>
    </row>
    <row r="492" spans="1:9" x14ac:dyDescent="0.45">
      <c r="A492" s="2">
        <v>27</v>
      </c>
      <c r="B492" s="2" t="s">
        <v>92</v>
      </c>
      <c r="C492" s="2" t="str">
        <f>VLOOKUP(B492,D.ファイターリスト!$B$5:$C$86,2,FALSE)</f>
        <v>M2</v>
      </c>
      <c r="D492" s="2">
        <v>82</v>
      </c>
      <c r="E492" s="2" t="s">
        <v>65</v>
      </c>
      <c r="F492" s="2" t="str">
        <f>VLOOKUP(E492,D.ファイターリスト!$B$5:$C$86,2,FALSE)</f>
        <v>スティーブ</v>
      </c>
      <c r="G492" s="2">
        <v>0</v>
      </c>
      <c r="H492" s="2">
        <v>1</v>
      </c>
      <c r="I492" s="2"/>
    </row>
    <row r="493" spans="1:9" x14ac:dyDescent="0.45">
      <c r="A493" s="2">
        <v>27</v>
      </c>
      <c r="B493" s="2" t="s">
        <v>92</v>
      </c>
      <c r="C493" s="2" t="str">
        <f>VLOOKUP(B493,D.ファイターリスト!$B$5:$C$86,2,FALSE)</f>
        <v>M2</v>
      </c>
      <c r="D493" s="2">
        <v>83</v>
      </c>
      <c r="E493" s="2" t="s">
        <v>66</v>
      </c>
      <c r="F493" s="2" t="str">
        <f>VLOOKUP(E493,D.ファイターリスト!$B$5:$C$86,2,FALSE)</f>
        <v>セフィロス</v>
      </c>
      <c r="G493" s="2">
        <v>0</v>
      </c>
      <c r="H493" s="2">
        <v>0</v>
      </c>
      <c r="I493" s="2"/>
    </row>
    <row r="494" spans="1:9" x14ac:dyDescent="0.45">
      <c r="A494" s="2">
        <v>27</v>
      </c>
      <c r="B494" s="2" t="s">
        <v>92</v>
      </c>
      <c r="C494" s="2" t="str">
        <f>VLOOKUP(B494,D.ファイターリスト!$B$5:$C$86,2,FALSE)</f>
        <v>M2</v>
      </c>
      <c r="D494" s="2">
        <v>84</v>
      </c>
      <c r="E494" s="2" t="s">
        <v>67</v>
      </c>
      <c r="F494" s="2" t="str">
        <f>VLOOKUP(E494,D.ファイターリスト!$B$5:$C$86,2,FALSE)</f>
        <v>ホムヒカ</v>
      </c>
      <c r="G494" s="2">
        <v>0</v>
      </c>
      <c r="H494" s="2">
        <v>0</v>
      </c>
      <c r="I494" s="2"/>
    </row>
    <row r="495" spans="1:9" x14ac:dyDescent="0.45">
      <c r="A495" s="2">
        <v>27</v>
      </c>
      <c r="B495" s="2" t="s">
        <v>92</v>
      </c>
      <c r="C495" s="2" t="str">
        <f>VLOOKUP(B495,D.ファイターリスト!$B$5:$C$86,2,FALSE)</f>
        <v>M2</v>
      </c>
      <c r="D495" s="2">
        <v>85</v>
      </c>
      <c r="E495" s="2" t="s">
        <v>68</v>
      </c>
      <c r="F495" s="2" t="str">
        <f>VLOOKUP(E495,D.ファイターリスト!$B$5:$C$86,2,FALSE)</f>
        <v>カズヤ</v>
      </c>
      <c r="G495" s="2">
        <v>0</v>
      </c>
      <c r="H495" s="2">
        <v>0</v>
      </c>
      <c r="I495" s="2"/>
    </row>
    <row r="496" spans="1:9" x14ac:dyDescent="0.45">
      <c r="A496" s="2">
        <v>27</v>
      </c>
      <c r="B496" s="2" t="s">
        <v>92</v>
      </c>
      <c r="C496" s="2" t="str">
        <f>VLOOKUP(B496,D.ファイターリスト!$B$5:$C$86,2,FALSE)</f>
        <v>M2</v>
      </c>
      <c r="D496" s="2">
        <v>86</v>
      </c>
      <c r="E496" s="2" t="s">
        <v>69</v>
      </c>
      <c r="F496" s="2" t="str">
        <f>VLOOKUP(E496,D.ファイターリスト!$B$5:$C$86,2,FALSE)</f>
        <v>ソラ</v>
      </c>
      <c r="G496" s="2">
        <v>0</v>
      </c>
      <c r="H496" s="2">
        <v>0</v>
      </c>
      <c r="I496" s="2"/>
    </row>
    <row r="497" spans="1:9" x14ac:dyDescent="0.45">
      <c r="A497" s="2">
        <v>16</v>
      </c>
      <c r="B497" s="2" t="s">
        <v>5</v>
      </c>
      <c r="C497" s="2" t="str">
        <f>VLOOKUP(B497,D.ファイターリスト!$B$5:$C$86,2,FALSE)</f>
        <v>カメ</v>
      </c>
      <c r="D497" s="2">
        <v>1</v>
      </c>
      <c r="E497" s="2" t="s">
        <v>70</v>
      </c>
      <c r="F497" s="2" t="str">
        <f>VLOOKUP(E497,D.ファイターリスト!$B$5:$C$86,2,FALSE)</f>
        <v>マリオ</v>
      </c>
      <c r="G497" s="2">
        <v>1</v>
      </c>
      <c r="H497" s="2">
        <v>0</v>
      </c>
      <c r="I497" s="2"/>
    </row>
    <row r="498" spans="1:9" x14ac:dyDescent="0.45">
      <c r="A498" s="2">
        <v>16</v>
      </c>
      <c r="B498" s="2" t="s">
        <v>5</v>
      </c>
      <c r="C498" s="2" t="str">
        <f>VLOOKUP(B498,D.ファイターリスト!$B$5:$C$86,2,FALSE)</f>
        <v>カメ</v>
      </c>
      <c r="D498" s="2">
        <v>2</v>
      </c>
      <c r="E498" s="2" t="s">
        <v>71</v>
      </c>
      <c r="F498" s="2" t="str">
        <f>VLOOKUP(E498,D.ファイターリスト!$B$5:$C$86,2,FALSE)</f>
        <v>DK</v>
      </c>
      <c r="G498" s="2">
        <v>0</v>
      </c>
      <c r="H498" s="2">
        <v>0</v>
      </c>
      <c r="I498" s="2"/>
    </row>
    <row r="499" spans="1:9" x14ac:dyDescent="0.45">
      <c r="A499" s="2">
        <v>16</v>
      </c>
      <c r="B499" s="2" t="s">
        <v>5</v>
      </c>
      <c r="C499" s="2" t="str">
        <f>VLOOKUP(B499,D.ファイターリスト!$B$5:$C$86,2,FALSE)</f>
        <v>カメ</v>
      </c>
      <c r="D499" s="2">
        <v>3</v>
      </c>
      <c r="E499" s="2" t="s">
        <v>72</v>
      </c>
      <c r="F499" s="2" t="str">
        <f>VLOOKUP(E499,D.ファイターリスト!$B$5:$C$86,2,FALSE)</f>
        <v>リンク</v>
      </c>
      <c r="G499" s="2">
        <v>0</v>
      </c>
      <c r="H499" s="2">
        <v>0</v>
      </c>
      <c r="I499" s="2"/>
    </row>
    <row r="500" spans="1:9" x14ac:dyDescent="0.45">
      <c r="A500" s="2">
        <v>16</v>
      </c>
      <c r="B500" s="2" t="s">
        <v>5</v>
      </c>
      <c r="C500" s="2" t="str">
        <f>VLOOKUP(B500,D.ファイターリスト!$B$5:$C$86,2,FALSE)</f>
        <v>カメ</v>
      </c>
      <c r="D500" s="2">
        <v>4</v>
      </c>
      <c r="E500" s="2" t="s">
        <v>114</v>
      </c>
      <c r="F500" s="2" t="str">
        <f>VLOOKUP(E500,D.ファイターリスト!$B$5:$C$86,2,FALSE)</f>
        <v>ダムス</v>
      </c>
      <c r="G500" s="2">
        <v>0</v>
      </c>
      <c r="H500" s="2">
        <v>0</v>
      </c>
      <c r="I500" s="2"/>
    </row>
    <row r="501" spans="1:9" x14ac:dyDescent="0.45">
      <c r="A501" s="2">
        <v>16</v>
      </c>
      <c r="B501" s="2" t="s">
        <v>5</v>
      </c>
      <c r="C501" s="2" t="str">
        <f>VLOOKUP(B501,D.ファイターリスト!$B$5:$C$86,2,FALSE)</f>
        <v>カメ</v>
      </c>
      <c r="D501" s="2">
        <v>6</v>
      </c>
      <c r="E501" s="2" t="s">
        <v>116</v>
      </c>
      <c r="F501" s="2" t="str">
        <f>VLOOKUP(E501,D.ファイターリスト!$B$5:$C$86,2,FALSE)</f>
        <v>ヨッシー</v>
      </c>
      <c r="G501" s="2">
        <v>1</v>
      </c>
      <c r="H501" s="2">
        <v>0</v>
      </c>
      <c r="I501" s="2"/>
    </row>
    <row r="502" spans="1:9" x14ac:dyDescent="0.45">
      <c r="A502" s="2">
        <v>16</v>
      </c>
      <c r="B502" s="2" t="s">
        <v>5</v>
      </c>
      <c r="C502" s="2" t="str">
        <f>VLOOKUP(B502,D.ファイターリスト!$B$5:$C$86,2,FALSE)</f>
        <v>カメ</v>
      </c>
      <c r="D502" s="2">
        <v>7</v>
      </c>
      <c r="E502" s="2" t="s">
        <v>73</v>
      </c>
      <c r="F502" s="2" t="str">
        <f>VLOOKUP(E502,D.ファイターリスト!$B$5:$C$86,2,FALSE)</f>
        <v>CB</v>
      </c>
      <c r="G502" s="2">
        <v>0</v>
      </c>
      <c r="H502" s="2">
        <v>0</v>
      </c>
      <c r="I502" s="2"/>
    </row>
    <row r="503" spans="1:9" x14ac:dyDescent="0.45">
      <c r="A503" s="2">
        <v>16</v>
      </c>
      <c r="B503" s="2" t="s">
        <v>5</v>
      </c>
      <c r="C503" s="2" t="str">
        <f>VLOOKUP(B503,D.ファイターリスト!$B$5:$C$86,2,FALSE)</f>
        <v>カメ</v>
      </c>
      <c r="D503" s="2">
        <v>8</v>
      </c>
      <c r="E503" s="2" t="s">
        <v>74</v>
      </c>
      <c r="F503" s="2" t="str">
        <f>VLOOKUP(E503,D.ファイターリスト!$B$5:$C$86,2,FALSE)</f>
        <v>FX</v>
      </c>
      <c r="G503" s="2">
        <v>0</v>
      </c>
      <c r="H503" s="2">
        <v>0</v>
      </c>
      <c r="I503" s="2"/>
    </row>
    <row r="504" spans="1:9" x14ac:dyDescent="0.45">
      <c r="A504" s="2">
        <v>16</v>
      </c>
      <c r="B504" s="2" t="s">
        <v>5</v>
      </c>
      <c r="C504" s="2" t="str">
        <f>VLOOKUP(B504,D.ファイターリスト!$B$5:$C$86,2,FALSE)</f>
        <v>カメ</v>
      </c>
      <c r="D504" s="2">
        <v>9</v>
      </c>
      <c r="E504" s="2" t="s">
        <v>75</v>
      </c>
      <c r="F504" s="2" t="str">
        <f>VLOOKUP(E504,D.ファイターリスト!$B$5:$C$86,2,FALSE)</f>
        <v>ピカ</v>
      </c>
      <c r="G504" s="2">
        <v>0</v>
      </c>
      <c r="H504" s="2">
        <v>0</v>
      </c>
      <c r="I504" s="2"/>
    </row>
    <row r="505" spans="1:9" x14ac:dyDescent="0.45">
      <c r="A505" s="2">
        <v>16</v>
      </c>
      <c r="B505" s="2" t="s">
        <v>5</v>
      </c>
      <c r="C505" s="2" t="str">
        <f>VLOOKUP(B505,D.ファイターリスト!$B$5:$C$86,2,FALSE)</f>
        <v>カメ</v>
      </c>
      <c r="D505" s="2">
        <v>10</v>
      </c>
      <c r="E505" s="2" t="s">
        <v>2</v>
      </c>
      <c r="F505" s="2" t="str">
        <f>VLOOKUP(E505,D.ファイターリスト!$B$5:$C$86,2,FALSE)</f>
        <v>L</v>
      </c>
      <c r="G505" s="2">
        <v>0</v>
      </c>
      <c r="H505" s="2">
        <v>0</v>
      </c>
      <c r="I505" s="2"/>
    </row>
    <row r="506" spans="1:9" x14ac:dyDescent="0.45">
      <c r="A506" s="2">
        <v>16</v>
      </c>
      <c r="B506" s="2" t="s">
        <v>5</v>
      </c>
      <c r="C506" s="2" t="str">
        <f>VLOOKUP(B506,D.ファイターリスト!$B$5:$C$86,2,FALSE)</f>
        <v>カメ</v>
      </c>
      <c r="D506" s="2">
        <v>11</v>
      </c>
      <c r="E506" s="2" t="s">
        <v>3</v>
      </c>
      <c r="F506" s="2" t="str">
        <f>VLOOKUP(E506,D.ファイターリスト!$B$5:$C$86,2,FALSE)</f>
        <v>ネス</v>
      </c>
      <c r="G506" s="2">
        <v>0</v>
      </c>
      <c r="H506" s="2">
        <v>0</v>
      </c>
      <c r="I506" s="2"/>
    </row>
    <row r="507" spans="1:9" x14ac:dyDescent="0.45">
      <c r="A507" s="2">
        <v>16</v>
      </c>
      <c r="B507" s="2" t="s">
        <v>5</v>
      </c>
      <c r="C507" s="2" t="str">
        <f>VLOOKUP(B507,D.ファイターリスト!$B$5:$C$86,2,FALSE)</f>
        <v>カメ</v>
      </c>
      <c r="D507" s="2">
        <v>12</v>
      </c>
      <c r="E507" s="2" t="s">
        <v>121</v>
      </c>
      <c r="F507" s="2" t="str">
        <f>VLOOKUP(E507,D.ファイターリスト!$B$5:$C$86,2,FALSE)</f>
        <v>CF</v>
      </c>
      <c r="G507" s="2">
        <v>0</v>
      </c>
      <c r="H507" s="2">
        <v>0</v>
      </c>
      <c r="I507" s="2"/>
    </row>
    <row r="508" spans="1:9" x14ac:dyDescent="0.45">
      <c r="A508" s="2">
        <v>16</v>
      </c>
      <c r="B508" s="2" t="s">
        <v>5</v>
      </c>
      <c r="C508" s="2" t="str">
        <f>VLOOKUP(B508,D.ファイターリスト!$B$5:$C$86,2,FALSE)</f>
        <v>カメ</v>
      </c>
      <c r="D508" s="2">
        <v>13</v>
      </c>
      <c r="E508" s="2" t="s">
        <v>4</v>
      </c>
      <c r="F508" s="2" t="str">
        <f>VLOOKUP(E508,D.ファイターリスト!$B$5:$C$86,2,FALSE)</f>
        <v>プリン</v>
      </c>
      <c r="G508" s="2">
        <v>0</v>
      </c>
      <c r="H508" s="2">
        <v>0</v>
      </c>
      <c r="I508" s="2"/>
    </row>
    <row r="509" spans="1:9" x14ac:dyDescent="0.45">
      <c r="A509" s="2">
        <v>16</v>
      </c>
      <c r="B509" s="2" t="s">
        <v>5</v>
      </c>
      <c r="C509" s="2" t="str">
        <f>VLOOKUP(B509,D.ファイターリスト!$B$5:$C$86,2,FALSE)</f>
        <v>カメ</v>
      </c>
      <c r="D509" s="2">
        <v>14</v>
      </c>
      <c r="E509" s="2" t="s">
        <v>123</v>
      </c>
      <c r="F509" s="2" t="str">
        <f>VLOOKUP(E509,D.ファイターリスト!$B$5:$C$86,2,FALSE)</f>
        <v>ピチデ</v>
      </c>
      <c r="G509" s="2">
        <v>0</v>
      </c>
      <c r="H509" s="2">
        <v>0</v>
      </c>
      <c r="I509" s="2"/>
    </row>
    <row r="510" spans="1:9" x14ac:dyDescent="0.45">
      <c r="A510" s="2">
        <v>16</v>
      </c>
      <c r="B510" s="2" t="s">
        <v>5</v>
      </c>
      <c r="C510" s="2" t="str">
        <f>VLOOKUP(B510,D.ファイターリスト!$B$5:$C$86,2,FALSE)</f>
        <v>カメ</v>
      </c>
      <c r="D510" s="2">
        <v>16</v>
      </c>
      <c r="E510" s="2" t="s">
        <v>5</v>
      </c>
      <c r="F510" s="2" t="str">
        <f>VLOOKUP(E510,D.ファイターリスト!$B$5:$C$86,2,FALSE)</f>
        <v>カメ</v>
      </c>
      <c r="G510" s="2">
        <v>0</v>
      </c>
      <c r="H510" s="2">
        <v>0</v>
      </c>
      <c r="I510" s="2"/>
    </row>
    <row r="511" spans="1:9" x14ac:dyDescent="0.45">
      <c r="A511" s="2">
        <v>16</v>
      </c>
      <c r="B511" s="2" t="s">
        <v>5</v>
      </c>
      <c r="C511" s="2" t="str">
        <f>VLOOKUP(B511,D.ファイターリスト!$B$5:$C$86,2,FALSE)</f>
        <v>カメ</v>
      </c>
      <c r="D511" s="2">
        <v>17</v>
      </c>
      <c r="E511" s="2" t="s">
        <v>6</v>
      </c>
      <c r="F511" s="2" t="str">
        <f>VLOOKUP(E511,D.ファイターリスト!$B$5:$C$86,2,FALSE)</f>
        <v>アイクラ</v>
      </c>
      <c r="G511" s="2">
        <v>0</v>
      </c>
      <c r="H511" s="2">
        <v>0</v>
      </c>
      <c r="I511" s="2"/>
    </row>
    <row r="512" spans="1:9" x14ac:dyDescent="0.45">
      <c r="A512" s="2">
        <v>16</v>
      </c>
      <c r="B512" s="2" t="s">
        <v>5</v>
      </c>
      <c r="C512" s="2" t="str">
        <f>VLOOKUP(B512,D.ファイターリスト!$B$5:$C$86,2,FALSE)</f>
        <v>カメ</v>
      </c>
      <c r="D512" s="2">
        <v>18</v>
      </c>
      <c r="E512" s="2" t="s">
        <v>7</v>
      </c>
      <c r="F512" s="2" t="str">
        <f>VLOOKUP(E512,D.ファイターリスト!$B$5:$C$86,2,FALSE)</f>
        <v>シーク</v>
      </c>
      <c r="G512" s="2">
        <v>0</v>
      </c>
      <c r="H512" s="2">
        <v>0</v>
      </c>
      <c r="I512" s="2"/>
    </row>
    <row r="513" spans="1:9" x14ac:dyDescent="0.45">
      <c r="A513" s="2">
        <v>16</v>
      </c>
      <c r="B513" s="2" t="s">
        <v>5</v>
      </c>
      <c r="C513" s="2" t="str">
        <f>VLOOKUP(B513,D.ファイターリスト!$B$5:$C$86,2,FALSE)</f>
        <v>カメ</v>
      </c>
      <c r="D513" s="2">
        <v>19</v>
      </c>
      <c r="E513" s="2" t="s">
        <v>8</v>
      </c>
      <c r="F513" s="2" t="str">
        <f>VLOOKUP(E513,D.ファイターリスト!$B$5:$C$86,2,FALSE)</f>
        <v>ゼルダ</v>
      </c>
      <c r="G513" s="2">
        <v>0</v>
      </c>
      <c r="H513" s="2">
        <v>0</v>
      </c>
      <c r="I513" s="2"/>
    </row>
    <row r="514" spans="1:9" x14ac:dyDescent="0.45">
      <c r="A514" s="2">
        <v>16</v>
      </c>
      <c r="B514" s="2" t="s">
        <v>5</v>
      </c>
      <c r="C514" s="2" t="str">
        <f>VLOOKUP(B514,D.ファイターリスト!$B$5:$C$86,2,FALSE)</f>
        <v>カメ</v>
      </c>
      <c r="D514" s="2">
        <v>20</v>
      </c>
      <c r="E514" s="2" t="s">
        <v>9</v>
      </c>
      <c r="F514" s="2" t="str">
        <f>VLOOKUP(E514,D.ファイターリスト!$B$5:$C$86,2,FALSE)</f>
        <v>ドクマリ</v>
      </c>
      <c r="G514" s="2">
        <v>0</v>
      </c>
      <c r="H514" s="2">
        <v>1</v>
      </c>
      <c r="I514" s="2"/>
    </row>
    <row r="515" spans="1:9" x14ac:dyDescent="0.45">
      <c r="A515" s="2">
        <v>16</v>
      </c>
      <c r="B515" s="2" t="s">
        <v>5</v>
      </c>
      <c r="C515" s="2" t="str">
        <f>VLOOKUP(B515,D.ファイターリスト!$B$5:$C$86,2,FALSE)</f>
        <v>カメ</v>
      </c>
      <c r="D515" s="2">
        <v>21</v>
      </c>
      <c r="E515" s="2" t="s">
        <v>10</v>
      </c>
      <c r="F515" s="2" t="str">
        <f>VLOOKUP(E515,D.ファイターリスト!$B$5:$C$86,2,FALSE)</f>
        <v>ピチュー</v>
      </c>
      <c r="G515" s="2">
        <v>0</v>
      </c>
      <c r="H515" s="2">
        <v>0</v>
      </c>
      <c r="I515" s="2"/>
    </row>
    <row r="516" spans="1:9" x14ac:dyDescent="0.45">
      <c r="A516" s="2">
        <v>16</v>
      </c>
      <c r="B516" s="2" t="s">
        <v>5</v>
      </c>
      <c r="C516" s="2" t="str">
        <f>VLOOKUP(B516,D.ファイターリスト!$B$5:$C$86,2,FALSE)</f>
        <v>カメ</v>
      </c>
      <c r="D516" s="2">
        <v>22</v>
      </c>
      <c r="E516" s="2" t="s">
        <v>11</v>
      </c>
      <c r="F516" s="2" t="str">
        <f>VLOOKUP(E516,D.ファイターリスト!$B$5:$C$86,2,FALSE)</f>
        <v>ファルコ</v>
      </c>
      <c r="G516" s="2">
        <v>0</v>
      </c>
      <c r="H516" s="2">
        <v>0</v>
      </c>
      <c r="I516" s="2"/>
    </row>
    <row r="517" spans="1:9" x14ac:dyDescent="0.45">
      <c r="A517" s="2">
        <v>16</v>
      </c>
      <c r="B517" s="2" t="s">
        <v>5</v>
      </c>
      <c r="C517" s="2" t="str">
        <f>VLOOKUP(B517,D.ファイターリスト!$B$5:$C$86,2,FALSE)</f>
        <v>カメ</v>
      </c>
      <c r="D517" s="2">
        <v>23</v>
      </c>
      <c r="E517" s="2" t="s">
        <v>12</v>
      </c>
      <c r="F517" s="2" t="str">
        <f>VLOOKUP(E517,D.ファイターリスト!$B$5:$C$86,2,FALSE)</f>
        <v>マルス</v>
      </c>
      <c r="G517" s="2">
        <v>0</v>
      </c>
      <c r="H517" s="2">
        <v>0</v>
      </c>
      <c r="I517" s="2"/>
    </row>
    <row r="518" spans="1:9" x14ac:dyDescent="0.45">
      <c r="A518" s="2">
        <v>16</v>
      </c>
      <c r="B518" s="2" t="s">
        <v>5</v>
      </c>
      <c r="C518" s="2" t="str">
        <f>VLOOKUP(B518,D.ファイターリスト!$B$5:$C$86,2,FALSE)</f>
        <v>カメ</v>
      </c>
      <c r="D518" s="2">
        <v>24</v>
      </c>
      <c r="E518" s="2" t="s">
        <v>13</v>
      </c>
      <c r="F518" s="2" t="str">
        <f>VLOOKUP(E518,D.ファイターリスト!$B$5:$C$86,2,FALSE)</f>
        <v>ルキナ</v>
      </c>
      <c r="G518" s="2">
        <v>0</v>
      </c>
      <c r="H518" s="2">
        <v>0</v>
      </c>
      <c r="I518" s="2"/>
    </row>
    <row r="519" spans="1:9" x14ac:dyDescent="0.45">
      <c r="A519" s="2">
        <v>16</v>
      </c>
      <c r="B519" s="2" t="s">
        <v>5</v>
      </c>
      <c r="C519" s="2" t="str">
        <f>VLOOKUP(B519,D.ファイターリスト!$B$5:$C$86,2,FALSE)</f>
        <v>カメ</v>
      </c>
      <c r="D519" s="2">
        <v>25</v>
      </c>
      <c r="E519" s="2" t="s">
        <v>14</v>
      </c>
      <c r="F519" s="2" t="str">
        <f>VLOOKUP(E519,D.ファイターリスト!$B$5:$C$86,2,FALSE)</f>
        <v>ヤンリン</v>
      </c>
      <c r="G519" s="2">
        <v>0</v>
      </c>
      <c r="H519" s="2">
        <v>0</v>
      </c>
      <c r="I519" s="2"/>
    </row>
    <row r="520" spans="1:9" x14ac:dyDescent="0.45">
      <c r="A520" s="2">
        <v>16</v>
      </c>
      <c r="B520" s="2" t="s">
        <v>5</v>
      </c>
      <c r="C520" s="2" t="str">
        <f>VLOOKUP(B520,D.ファイターリスト!$B$5:$C$86,2,FALSE)</f>
        <v>カメ</v>
      </c>
      <c r="D520" s="2">
        <v>26</v>
      </c>
      <c r="E520" s="2" t="s">
        <v>15</v>
      </c>
      <c r="F520" s="2" t="str">
        <f>VLOOKUP(E520,D.ファイターリスト!$B$5:$C$86,2,FALSE)</f>
        <v>ガノン</v>
      </c>
      <c r="G520" s="2">
        <v>0</v>
      </c>
      <c r="H520" s="2">
        <v>1</v>
      </c>
      <c r="I520" s="2"/>
    </row>
    <row r="521" spans="1:9" x14ac:dyDescent="0.45">
      <c r="A521" s="2">
        <v>16</v>
      </c>
      <c r="B521" s="2" t="s">
        <v>5</v>
      </c>
      <c r="C521" s="2" t="str">
        <f>VLOOKUP(B521,D.ファイターリスト!$B$5:$C$86,2,FALSE)</f>
        <v>カメ</v>
      </c>
      <c r="D521" s="2">
        <v>27</v>
      </c>
      <c r="E521" s="2" t="s">
        <v>130</v>
      </c>
      <c r="F521" s="2" t="str">
        <f>VLOOKUP(E521,D.ファイターリスト!$B$5:$C$86,2,FALSE)</f>
        <v>M2</v>
      </c>
      <c r="G521" s="2">
        <v>0</v>
      </c>
      <c r="H521" s="2">
        <v>0</v>
      </c>
      <c r="I521" s="2"/>
    </row>
    <row r="522" spans="1:9" x14ac:dyDescent="0.45">
      <c r="A522" s="2">
        <v>16</v>
      </c>
      <c r="B522" s="2" t="s">
        <v>5</v>
      </c>
      <c r="C522" s="2" t="str">
        <f>VLOOKUP(B522,D.ファイターリスト!$B$5:$C$86,2,FALSE)</f>
        <v>カメ</v>
      </c>
      <c r="D522" s="2">
        <v>28</v>
      </c>
      <c r="E522" s="2" t="s">
        <v>16</v>
      </c>
      <c r="F522" s="2" t="str">
        <f>VLOOKUP(E522,D.ファイターリスト!$B$5:$C$86,2,FALSE)</f>
        <v>ロイ</v>
      </c>
      <c r="G522" s="2">
        <v>0</v>
      </c>
      <c r="H522" s="2">
        <v>0</v>
      </c>
      <c r="I522" s="2"/>
    </row>
    <row r="523" spans="1:9" x14ac:dyDescent="0.45">
      <c r="A523" s="2">
        <v>16</v>
      </c>
      <c r="B523" s="2" t="s">
        <v>5</v>
      </c>
      <c r="C523" s="2" t="str">
        <f>VLOOKUP(B523,D.ファイターリスト!$B$5:$C$86,2,FALSE)</f>
        <v>カメ</v>
      </c>
      <c r="D523" s="2">
        <v>29</v>
      </c>
      <c r="E523" s="2" t="s">
        <v>17</v>
      </c>
      <c r="F523" s="2" t="str">
        <f>VLOOKUP(E523,D.ファイターリスト!$B$5:$C$86,2,FALSE)</f>
        <v>クロム</v>
      </c>
      <c r="G523" s="2">
        <v>0</v>
      </c>
      <c r="H523" s="2">
        <v>0</v>
      </c>
      <c r="I523" s="2"/>
    </row>
    <row r="524" spans="1:9" x14ac:dyDescent="0.45">
      <c r="A524" s="2">
        <v>16</v>
      </c>
      <c r="B524" s="2" t="s">
        <v>5</v>
      </c>
      <c r="C524" s="2" t="str">
        <f>VLOOKUP(B524,D.ファイターリスト!$B$5:$C$86,2,FALSE)</f>
        <v>カメ</v>
      </c>
      <c r="D524" s="2">
        <v>30</v>
      </c>
      <c r="E524" s="2" t="s">
        <v>132</v>
      </c>
      <c r="F524" s="2" t="str">
        <f>VLOOKUP(E524,D.ファイターリスト!$B$5:$C$86,2,FALSE)</f>
        <v>ゲッチ</v>
      </c>
      <c r="G524" s="2">
        <v>0</v>
      </c>
      <c r="H524" s="2">
        <v>0</v>
      </c>
      <c r="I524" s="2"/>
    </row>
    <row r="525" spans="1:9" x14ac:dyDescent="0.45">
      <c r="A525" s="2">
        <v>16</v>
      </c>
      <c r="B525" s="2" t="s">
        <v>5</v>
      </c>
      <c r="C525" s="2" t="str">
        <f>VLOOKUP(B525,D.ファイターリスト!$B$5:$C$86,2,FALSE)</f>
        <v>カメ</v>
      </c>
      <c r="D525" s="2">
        <v>31</v>
      </c>
      <c r="E525" s="2" t="s">
        <v>18</v>
      </c>
      <c r="F525" s="2" t="str">
        <f>VLOOKUP(E525,D.ファイターリスト!$B$5:$C$86,2,FALSE)</f>
        <v>メタ</v>
      </c>
      <c r="G525" s="2">
        <v>0</v>
      </c>
      <c r="H525" s="2">
        <v>0</v>
      </c>
      <c r="I525" s="2"/>
    </row>
    <row r="526" spans="1:9" x14ac:dyDescent="0.45">
      <c r="A526" s="2">
        <v>16</v>
      </c>
      <c r="B526" s="2" t="s">
        <v>5</v>
      </c>
      <c r="C526" s="2" t="str">
        <f>VLOOKUP(B526,D.ファイターリスト!$B$5:$C$86,2,FALSE)</f>
        <v>カメ</v>
      </c>
      <c r="D526" s="2">
        <v>32</v>
      </c>
      <c r="E526" s="2" t="s">
        <v>135</v>
      </c>
      <c r="F526" s="2" t="str">
        <f>VLOOKUP(E526,D.ファイターリスト!$B$5:$C$86,2,FALSE)</f>
        <v>ブラピ</v>
      </c>
      <c r="G526" s="2">
        <v>0</v>
      </c>
      <c r="H526" s="2">
        <v>0</v>
      </c>
      <c r="I526" s="2"/>
    </row>
    <row r="527" spans="1:9" x14ac:dyDescent="0.45">
      <c r="A527" s="2">
        <v>16</v>
      </c>
      <c r="B527" s="2" t="s">
        <v>5</v>
      </c>
      <c r="C527" s="2" t="str">
        <f>VLOOKUP(B527,D.ファイターリスト!$B$5:$C$86,2,FALSE)</f>
        <v>カメ</v>
      </c>
      <c r="D527" s="2">
        <v>34</v>
      </c>
      <c r="E527" s="2" t="s">
        <v>19</v>
      </c>
      <c r="F527" s="2" t="str">
        <f>VLOOKUP(E527,D.ファイターリスト!$B$5:$C$86,2,FALSE)</f>
        <v>ゼロサム</v>
      </c>
      <c r="G527" s="2">
        <v>0</v>
      </c>
      <c r="H527" s="2">
        <v>0</v>
      </c>
      <c r="I527" s="2"/>
    </row>
    <row r="528" spans="1:9" x14ac:dyDescent="0.45">
      <c r="A528" s="2">
        <v>16</v>
      </c>
      <c r="B528" s="2" t="s">
        <v>5</v>
      </c>
      <c r="C528" s="2" t="str">
        <f>VLOOKUP(B528,D.ファイターリスト!$B$5:$C$86,2,FALSE)</f>
        <v>カメ</v>
      </c>
      <c r="D528" s="2">
        <v>35</v>
      </c>
      <c r="E528" s="2" t="s">
        <v>20</v>
      </c>
      <c r="F528" s="2" t="str">
        <f>VLOOKUP(E528,D.ファイターリスト!$B$5:$C$86,2,FALSE)</f>
        <v>ワリオ</v>
      </c>
      <c r="G528" s="2">
        <v>0</v>
      </c>
      <c r="H528" s="2">
        <v>0</v>
      </c>
      <c r="I528" s="2"/>
    </row>
    <row r="529" spans="1:9" x14ac:dyDescent="0.45">
      <c r="A529" s="2">
        <v>16</v>
      </c>
      <c r="B529" s="2" t="s">
        <v>5</v>
      </c>
      <c r="C529" s="2" t="str">
        <f>VLOOKUP(B529,D.ファイターリスト!$B$5:$C$86,2,FALSE)</f>
        <v>カメ</v>
      </c>
      <c r="D529" s="2">
        <v>36</v>
      </c>
      <c r="E529" s="2" t="s">
        <v>21</v>
      </c>
      <c r="F529" s="2" t="str">
        <f>VLOOKUP(E529,D.ファイターリスト!$B$5:$C$86,2,FALSE)</f>
        <v>スネーク</v>
      </c>
      <c r="G529" s="2">
        <v>0</v>
      </c>
      <c r="H529" s="2">
        <v>0</v>
      </c>
      <c r="I529" s="2"/>
    </row>
    <row r="530" spans="1:9" x14ac:dyDescent="0.45">
      <c r="A530" s="2">
        <v>16</v>
      </c>
      <c r="B530" s="2" t="s">
        <v>5</v>
      </c>
      <c r="C530" s="2" t="str">
        <f>VLOOKUP(B530,D.ファイターリスト!$B$5:$C$86,2,FALSE)</f>
        <v>カメ</v>
      </c>
      <c r="D530" s="2">
        <v>37</v>
      </c>
      <c r="E530" s="2" t="s">
        <v>22</v>
      </c>
      <c r="F530" s="2" t="str">
        <f>VLOOKUP(E530,D.ファイターリスト!$B$5:$C$86,2,FALSE)</f>
        <v>アイクラ</v>
      </c>
      <c r="G530" s="2">
        <v>0</v>
      </c>
      <c r="H530" s="2">
        <v>0</v>
      </c>
      <c r="I530" s="2"/>
    </row>
    <row r="531" spans="1:9" x14ac:dyDescent="0.45">
      <c r="A531" s="2">
        <v>16</v>
      </c>
      <c r="B531" s="2" t="s">
        <v>5</v>
      </c>
      <c r="C531" s="2" t="str">
        <f>VLOOKUP(B531,D.ファイターリスト!$B$5:$C$86,2,FALSE)</f>
        <v>カメ</v>
      </c>
      <c r="D531" s="2">
        <v>38</v>
      </c>
      <c r="E531" s="2" t="s">
        <v>23</v>
      </c>
      <c r="F531" s="2" t="str">
        <f>VLOOKUP(E531,D.ファイターリスト!$B$5:$C$86,2,FALSE)</f>
        <v>ポケトレ</v>
      </c>
      <c r="G531" s="2">
        <v>0</v>
      </c>
      <c r="H531" s="2">
        <v>0</v>
      </c>
      <c r="I531" s="2"/>
    </row>
    <row r="532" spans="1:9" x14ac:dyDescent="0.45">
      <c r="A532" s="2">
        <v>16</v>
      </c>
      <c r="B532" s="2" t="s">
        <v>5</v>
      </c>
      <c r="C532" s="2" t="str">
        <f>VLOOKUP(B532,D.ファイターリスト!$B$5:$C$86,2,FALSE)</f>
        <v>カメ</v>
      </c>
      <c r="D532" s="2">
        <v>39</v>
      </c>
      <c r="E532" s="2" t="s">
        <v>24</v>
      </c>
      <c r="F532" s="2" t="str">
        <f>VLOOKUP(E532,D.ファイターリスト!$B$5:$C$86,2,FALSE)</f>
        <v>DD</v>
      </c>
      <c r="G532" s="2">
        <v>0</v>
      </c>
      <c r="H532" s="2">
        <v>0</v>
      </c>
      <c r="I532" s="2"/>
    </row>
    <row r="533" spans="1:9" x14ac:dyDescent="0.45">
      <c r="A533" s="2">
        <v>16</v>
      </c>
      <c r="B533" s="2" t="s">
        <v>5</v>
      </c>
      <c r="C533" s="2" t="str">
        <f>VLOOKUP(B533,D.ファイターリスト!$B$5:$C$86,2,FALSE)</f>
        <v>カメ</v>
      </c>
      <c r="D533" s="2">
        <v>40</v>
      </c>
      <c r="E533" s="2" t="s">
        <v>25</v>
      </c>
      <c r="F533" s="2" t="str">
        <f>VLOOKUP(E533,D.ファイターリスト!$B$5:$C$86,2,FALSE)</f>
        <v>リュカ</v>
      </c>
      <c r="G533" s="2">
        <v>0</v>
      </c>
      <c r="H533" s="2">
        <v>0</v>
      </c>
      <c r="I533" s="2"/>
    </row>
    <row r="534" spans="1:9" x14ac:dyDescent="0.45">
      <c r="A534" s="2">
        <v>16</v>
      </c>
      <c r="B534" s="2" t="s">
        <v>5</v>
      </c>
      <c r="C534" s="2" t="str">
        <f>VLOOKUP(B534,D.ファイターリスト!$B$5:$C$86,2,FALSE)</f>
        <v>カメ</v>
      </c>
      <c r="D534" s="2">
        <v>41</v>
      </c>
      <c r="E534" s="2" t="s">
        <v>26</v>
      </c>
      <c r="F534" s="2" t="str">
        <f>VLOOKUP(E534,D.ファイターリスト!$B$5:$C$86,2,FALSE)</f>
        <v>ソニック</v>
      </c>
      <c r="G534" s="2">
        <v>0</v>
      </c>
      <c r="H534" s="2">
        <v>0</v>
      </c>
      <c r="I534" s="2"/>
    </row>
    <row r="535" spans="1:9" x14ac:dyDescent="0.45">
      <c r="A535" s="2">
        <v>16</v>
      </c>
      <c r="B535" s="2" t="s">
        <v>5</v>
      </c>
      <c r="C535" s="2" t="str">
        <f>VLOOKUP(B535,D.ファイターリスト!$B$5:$C$86,2,FALSE)</f>
        <v>カメ</v>
      </c>
      <c r="D535" s="2">
        <v>42</v>
      </c>
      <c r="E535" s="2" t="s">
        <v>27</v>
      </c>
      <c r="F535" s="2" t="str">
        <f>VLOOKUP(E535,D.ファイターリスト!$B$5:$C$86,2,FALSE)</f>
        <v>DDD</v>
      </c>
      <c r="G535" s="2">
        <v>0</v>
      </c>
      <c r="H535" s="2">
        <v>0</v>
      </c>
      <c r="I535" s="2"/>
    </row>
    <row r="536" spans="1:9" x14ac:dyDescent="0.45">
      <c r="A536" s="2">
        <v>16</v>
      </c>
      <c r="B536" s="2" t="s">
        <v>5</v>
      </c>
      <c r="C536" s="2" t="str">
        <f>VLOOKUP(B536,D.ファイターリスト!$B$5:$C$86,2,FALSE)</f>
        <v>カメ</v>
      </c>
      <c r="D536" s="2">
        <v>43</v>
      </c>
      <c r="E536" s="2" t="s">
        <v>28</v>
      </c>
      <c r="F536" s="2" t="str">
        <f>VLOOKUP(E536,D.ファイターリスト!$B$5:$C$86,2,FALSE)</f>
        <v>ピクオリ</v>
      </c>
      <c r="G536" s="2">
        <v>0</v>
      </c>
      <c r="H536" s="2">
        <v>0</v>
      </c>
      <c r="I536" s="2"/>
    </row>
    <row r="537" spans="1:9" x14ac:dyDescent="0.45">
      <c r="A537" s="2">
        <v>16</v>
      </c>
      <c r="B537" s="2" t="s">
        <v>5</v>
      </c>
      <c r="C537" s="2" t="str">
        <f>VLOOKUP(B537,D.ファイターリスト!$B$5:$C$86,2,FALSE)</f>
        <v>カメ</v>
      </c>
      <c r="D537" s="2">
        <v>44</v>
      </c>
      <c r="E537" s="2" t="s">
        <v>29</v>
      </c>
      <c r="F537" s="2" t="str">
        <f>VLOOKUP(E537,D.ファイターリスト!$B$5:$C$86,2,FALSE)</f>
        <v>ルカリオ</v>
      </c>
      <c r="G537" s="2">
        <v>1</v>
      </c>
      <c r="H537" s="2">
        <v>0</v>
      </c>
      <c r="I537" s="2"/>
    </row>
    <row r="538" spans="1:9" x14ac:dyDescent="0.45">
      <c r="A538" s="2">
        <v>16</v>
      </c>
      <c r="B538" s="2" t="s">
        <v>5</v>
      </c>
      <c r="C538" s="2" t="str">
        <f>VLOOKUP(B538,D.ファイターリスト!$B$5:$C$86,2,FALSE)</f>
        <v>カメ</v>
      </c>
      <c r="D538" s="2">
        <v>45</v>
      </c>
      <c r="E538" s="2" t="s">
        <v>30</v>
      </c>
      <c r="F538" s="2" t="str">
        <f>VLOOKUP(E538,D.ファイターリスト!$B$5:$C$86,2,FALSE)</f>
        <v>ロボット</v>
      </c>
      <c r="G538" s="2">
        <v>0</v>
      </c>
      <c r="H538" s="2">
        <v>0</v>
      </c>
      <c r="I538" s="2"/>
    </row>
    <row r="539" spans="1:9" x14ac:dyDescent="0.45">
      <c r="A539" s="2">
        <v>16</v>
      </c>
      <c r="B539" s="2" t="s">
        <v>5</v>
      </c>
      <c r="C539" s="2" t="str">
        <f>VLOOKUP(B539,D.ファイターリスト!$B$5:$C$86,2,FALSE)</f>
        <v>カメ</v>
      </c>
      <c r="D539" s="2">
        <v>46</v>
      </c>
      <c r="E539" s="2" t="s">
        <v>31</v>
      </c>
      <c r="F539" s="2" t="str">
        <f>VLOOKUP(E539,D.ファイターリスト!$B$5:$C$86,2,FALSE)</f>
        <v>トリン</v>
      </c>
      <c r="G539" s="2">
        <v>0</v>
      </c>
      <c r="H539" s="2">
        <v>0</v>
      </c>
      <c r="I539" s="2"/>
    </row>
    <row r="540" spans="1:9" x14ac:dyDescent="0.45">
      <c r="A540" s="2">
        <v>16</v>
      </c>
      <c r="B540" s="2" t="s">
        <v>5</v>
      </c>
      <c r="C540" s="2" t="str">
        <f>VLOOKUP(B540,D.ファイターリスト!$B$5:$C$86,2,FALSE)</f>
        <v>カメ</v>
      </c>
      <c r="D540" s="2">
        <v>47</v>
      </c>
      <c r="E540" s="2" t="s">
        <v>32</v>
      </c>
      <c r="F540" s="2" t="str">
        <f>VLOOKUP(E540,D.ファイターリスト!$B$5:$C$86,2,FALSE)</f>
        <v>ウルフ</v>
      </c>
      <c r="G540" s="2">
        <v>0</v>
      </c>
      <c r="H540" s="2">
        <v>0</v>
      </c>
      <c r="I540" s="2"/>
    </row>
    <row r="541" spans="1:9" x14ac:dyDescent="0.45">
      <c r="A541" s="2">
        <v>16</v>
      </c>
      <c r="B541" s="2" t="s">
        <v>5</v>
      </c>
      <c r="C541" s="2" t="str">
        <f>VLOOKUP(B541,D.ファイターリスト!$B$5:$C$86,2,FALSE)</f>
        <v>カメ</v>
      </c>
      <c r="D541" s="2">
        <v>48</v>
      </c>
      <c r="E541" s="2" t="s">
        <v>33</v>
      </c>
      <c r="F541" s="2" t="str">
        <f>VLOOKUP(E541,D.ファイターリスト!$B$5:$C$86,2,FALSE)</f>
        <v>むらびと</v>
      </c>
      <c r="G541" s="2">
        <v>0</v>
      </c>
      <c r="H541" s="2">
        <v>0</v>
      </c>
      <c r="I541" s="2"/>
    </row>
    <row r="542" spans="1:9" x14ac:dyDescent="0.45">
      <c r="A542" s="2">
        <v>16</v>
      </c>
      <c r="B542" s="2" t="s">
        <v>5</v>
      </c>
      <c r="C542" s="2" t="str">
        <f>VLOOKUP(B542,D.ファイターリスト!$B$5:$C$86,2,FALSE)</f>
        <v>カメ</v>
      </c>
      <c r="D542" s="2">
        <v>49</v>
      </c>
      <c r="E542" s="2" t="s">
        <v>34</v>
      </c>
      <c r="F542" s="2" t="str">
        <f>VLOOKUP(E542,D.ファイターリスト!$B$5:$C$86,2,FALSE)</f>
        <v>岩</v>
      </c>
      <c r="G542" s="2">
        <v>0</v>
      </c>
      <c r="H542" s="2">
        <v>0</v>
      </c>
      <c r="I542" s="2"/>
    </row>
    <row r="543" spans="1:9" x14ac:dyDescent="0.45">
      <c r="A543" s="2">
        <v>16</v>
      </c>
      <c r="B543" s="2" t="s">
        <v>5</v>
      </c>
      <c r="C543" s="2" t="str">
        <f>VLOOKUP(B543,D.ファイターリスト!$B$5:$C$86,2,FALSE)</f>
        <v>カメ</v>
      </c>
      <c r="D543" s="2">
        <v>50</v>
      </c>
      <c r="E543" s="2" t="s">
        <v>35</v>
      </c>
      <c r="F543" s="2" t="str">
        <f>VLOOKUP(E543,D.ファイターリスト!$B$5:$C$86,2,FALSE)</f>
        <v>フィットレ</v>
      </c>
      <c r="G543" s="2">
        <v>0</v>
      </c>
      <c r="H543" s="2">
        <v>0</v>
      </c>
      <c r="I543" s="2"/>
    </row>
    <row r="544" spans="1:9" x14ac:dyDescent="0.45">
      <c r="A544" s="2">
        <v>16</v>
      </c>
      <c r="B544" s="2" t="s">
        <v>5</v>
      </c>
      <c r="C544" s="2" t="str">
        <f>VLOOKUP(B544,D.ファイターリスト!$B$5:$C$86,2,FALSE)</f>
        <v>カメ</v>
      </c>
      <c r="D544" s="2">
        <v>51</v>
      </c>
      <c r="E544" s="2" t="s">
        <v>36</v>
      </c>
      <c r="F544" s="2" t="str">
        <f>VLOOKUP(E544,D.ファイターリスト!$B$5:$C$86,2,FALSE)</f>
        <v>ロゼチコ</v>
      </c>
      <c r="G544" s="2">
        <v>0</v>
      </c>
      <c r="H544" s="2">
        <v>0</v>
      </c>
      <c r="I544" s="2"/>
    </row>
    <row r="545" spans="1:9" x14ac:dyDescent="0.45">
      <c r="A545" s="2">
        <v>16</v>
      </c>
      <c r="B545" s="2" t="s">
        <v>5</v>
      </c>
      <c r="C545" s="2" t="str">
        <f>VLOOKUP(B545,D.ファイターリスト!$B$5:$C$86,2,FALSE)</f>
        <v>カメ</v>
      </c>
      <c r="D545" s="2">
        <v>52</v>
      </c>
      <c r="E545" s="2" t="s">
        <v>37</v>
      </c>
      <c r="F545" s="2" t="str">
        <f>VLOOKUP(E545,D.ファイターリスト!$B$5:$C$86,2,FALSE)</f>
        <v>リトマ</v>
      </c>
      <c r="G545" s="2">
        <v>1</v>
      </c>
      <c r="H545" s="2">
        <v>0</v>
      </c>
      <c r="I545" s="2"/>
    </row>
    <row r="546" spans="1:9" x14ac:dyDescent="0.45">
      <c r="A546" s="2">
        <v>16</v>
      </c>
      <c r="B546" s="2" t="s">
        <v>5</v>
      </c>
      <c r="C546" s="2" t="str">
        <f>VLOOKUP(B546,D.ファイターリスト!$B$5:$C$86,2,FALSE)</f>
        <v>カメ</v>
      </c>
      <c r="D546" s="2">
        <v>53</v>
      </c>
      <c r="E546" s="2" t="s">
        <v>38</v>
      </c>
      <c r="F546" s="2" t="str">
        <f>VLOOKUP(E546,D.ファイターリスト!$B$5:$C$86,2,FALSE)</f>
        <v>ゲコ</v>
      </c>
      <c r="G546" s="2">
        <v>0</v>
      </c>
      <c r="H546" s="2">
        <v>0</v>
      </c>
      <c r="I546" s="2"/>
    </row>
    <row r="547" spans="1:9" x14ac:dyDescent="0.45">
      <c r="A547" s="2">
        <v>16</v>
      </c>
      <c r="B547" s="2" t="s">
        <v>5</v>
      </c>
      <c r="C547" s="2" t="str">
        <f>VLOOKUP(B547,D.ファイターリスト!$B$5:$C$86,2,FALSE)</f>
        <v>カメ</v>
      </c>
      <c r="D547" s="2">
        <v>54</v>
      </c>
      <c r="E547" s="2" t="s">
        <v>39</v>
      </c>
      <c r="F547" s="2" t="str">
        <f>VLOOKUP(E547,D.ファイターリスト!$B$5:$C$86,2,FALSE)</f>
        <v>カクミ</v>
      </c>
      <c r="G547" s="2">
        <v>0</v>
      </c>
      <c r="H547" s="2">
        <v>0</v>
      </c>
      <c r="I547" s="2"/>
    </row>
    <row r="548" spans="1:9" x14ac:dyDescent="0.45">
      <c r="A548" s="2">
        <v>16</v>
      </c>
      <c r="B548" s="2" t="s">
        <v>5</v>
      </c>
      <c r="C548" s="2" t="str">
        <f>VLOOKUP(B548,D.ファイターリスト!$B$5:$C$86,2,FALSE)</f>
        <v>カメ</v>
      </c>
      <c r="D548" s="2">
        <v>55</v>
      </c>
      <c r="E548" s="2" t="s">
        <v>40</v>
      </c>
      <c r="F548" s="2" t="str">
        <f>VLOOKUP(E548,D.ファイターリスト!$B$5:$C$86,2,FALSE)</f>
        <v>ケンミ</v>
      </c>
      <c r="G548" s="2">
        <v>0</v>
      </c>
      <c r="H548" s="2">
        <v>0</v>
      </c>
      <c r="I548" s="2"/>
    </row>
    <row r="549" spans="1:9" x14ac:dyDescent="0.45">
      <c r="A549" s="2">
        <v>16</v>
      </c>
      <c r="B549" s="2" t="s">
        <v>5</v>
      </c>
      <c r="C549" s="2" t="str">
        <f>VLOOKUP(B549,D.ファイターリスト!$B$5:$C$86,2,FALSE)</f>
        <v>カメ</v>
      </c>
      <c r="D549" s="2">
        <v>56</v>
      </c>
      <c r="E549" s="2" t="s">
        <v>41</v>
      </c>
      <c r="F549" s="2" t="str">
        <f>VLOOKUP(E549,D.ファイターリスト!$B$5:$C$86,2,FALSE)</f>
        <v>シャゲミ</v>
      </c>
      <c r="G549" s="2">
        <v>0</v>
      </c>
      <c r="H549" s="2">
        <v>0</v>
      </c>
      <c r="I549" s="2"/>
    </row>
    <row r="550" spans="1:9" x14ac:dyDescent="0.45">
      <c r="A550" s="2">
        <v>16</v>
      </c>
      <c r="B550" s="2" t="s">
        <v>5</v>
      </c>
      <c r="C550" s="2" t="str">
        <f>VLOOKUP(B550,D.ファイターリスト!$B$5:$C$86,2,FALSE)</f>
        <v>カメ</v>
      </c>
      <c r="D550" s="2">
        <v>57</v>
      </c>
      <c r="E550" s="2" t="s">
        <v>42</v>
      </c>
      <c r="F550" s="2" t="str">
        <f>VLOOKUP(E550,D.ファイターリスト!$B$5:$C$86,2,FALSE)</f>
        <v>パルテナ</v>
      </c>
      <c r="G550" s="2">
        <v>1</v>
      </c>
      <c r="H550" s="2">
        <v>0</v>
      </c>
      <c r="I550" s="2"/>
    </row>
    <row r="551" spans="1:9" x14ac:dyDescent="0.45">
      <c r="A551" s="2">
        <v>16</v>
      </c>
      <c r="B551" s="2" t="s">
        <v>5</v>
      </c>
      <c r="C551" s="2" t="str">
        <f>VLOOKUP(B551,D.ファイターリスト!$B$5:$C$86,2,FALSE)</f>
        <v>カメ</v>
      </c>
      <c r="D551" s="2">
        <v>58</v>
      </c>
      <c r="E551" s="2" t="s">
        <v>43</v>
      </c>
      <c r="F551" s="2" t="str">
        <f>VLOOKUP(E551,D.ファイターリスト!$B$5:$C$86,2,FALSE)</f>
        <v>金玉</v>
      </c>
      <c r="G551" s="2">
        <v>0</v>
      </c>
      <c r="H551" s="2">
        <v>0</v>
      </c>
      <c r="I551" s="2"/>
    </row>
    <row r="552" spans="1:9" x14ac:dyDescent="0.45">
      <c r="A552" s="2">
        <v>16</v>
      </c>
      <c r="B552" s="2" t="s">
        <v>5</v>
      </c>
      <c r="C552" s="2" t="str">
        <f>VLOOKUP(B552,D.ファイターリスト!$B$5:$C$86,2,FALSE)</f>
        <v>カメ</v>
      </c>
      <c r="D552" s="2">
        <v>59</v>
      </c>
      <c r="E552" s="2" t="s">
        <v>44</v>
      </c>
      <c r="F552" s="2" t="str">
        <f>VLOOKUP(E552,D.ファイターリスト!$B$5:$C$86,2,FALSE)</f>
        <v>ルフレ</v>
      </c>
      <c r="G552" s="2">
        <v>0</v>
      </c>
      <c r="H552" s="2">
        <v>0</v>
      </c>
      <c r="I552" s="2"/>
    </row>
    <row r="553" spans="1:9" x14ac:dyDescent="0.45">
      <c r="A553" s="2">
        <v>16</v>
      </c>
      <c r="B553" s="2" t="s">
        <v>5</v>
      </c>
      <c r="C553" s="2" t="str">
        <f>VLOOKUP(B553,D.ファイターリスト!$B$5:$C$86,2,FALSE)</f>
        <v>カメ</v>
      </c>
      <c r="D553" s="2">
        <v>60</v>
      </c>
      <c r="E553" s="2" t="s">
        <v>45</v>
      </c>
      <c r="F553" s="2" t="str">
        <f>VLOOKUP(E553,D.ファイターリスト!$B$5:$C$86,2,FALSE)</f>
        <v>手越</v>
      </c>
      <c r="G553" s="2">
        <v>0</v>
      </c>
      <c r="H553" s="2">
        <v>0</v>
      </c>
      <c r="I553" s="2"/>
    </row>
    <row r="554" spans="1:9" x14ac:dyDescent="0.45">
      <c r="A554" s="2">
        <v>16</v>
      </c>
      <c r="B554" s="2" t="s">
        <v>5</v>
      </c>
      <c r="C554" s="2" t="str">
        <f>VLOOKUP(B554,D.ファイターリスト!$B$5:$C$86,2,FALSE)</f>
        <v>カメ</v>
      </c>
      <c r="D554" s="2">
        <v>61</v>
      </c>
      <c r="E554" s="2" t="s">
        <v>46</v>
      </c>
      <c r="F554" s="2" t="str">
        <f>VLOOKUP(E554,D.ファイターリスト!$B$5:$C$86,2,FALSE)</f>
        <v>パジュニ</v>
      </c>
      <c r="G554" s="2">
        <v>0</v>
      </c>
      <c r="H554" s="2">
        <v>0</v>
      </c>
      <c r="I554" s="2"/>
    </row>
    <row r="555" spans="1:9" x14ac:dyDescent="0.45">
      <c r="A555" s="2">
        <v>16</v>
      </c>
      <c r="B555" s="2" t="s">
        <v>5</v>
      </c>
      <c r="C555" s="2" t="str">
        <f>VLOOKUP(B555,D.ファイターリスト!$B$5:$C$86,2,FALSE)</f>
        <v>カメ</v>
      </c>
      <c r="D555" s="2">
        <v>62</v>
      </c>
      <c r="E555" s="2" t="s">
        <v>47</v>
      </c>
      <c r="F555" s="2" t="str">
        <f>VLOOKUP(E555,D.ファイターリスト!$B$5:$C$86,2,FALSE)</f>
        <v>犬</v>
      </c>
      <c r="G555" s="2">
        <v>0</v>
      </c>
      <c r="H555" s="2">
        <v>0</v>
      </c>
      <c r="I555" s="2"/>
    </row>
    <row r="556" spans="1:9" x14ac:dyDescent="0.45">
      <c r="A556" s="2">
        <v>16</v>
      </c>
      <c r="B556" s="2" t="s">
        <v>5</v>
      </c>
      <c r="C556" s="2" t="str">
        <f>VLOOKUP(B556,D.ファイターリスト!$B$5:$C$86,2,FALSE)</f>
        <v>カメ</v>
      </c>
      <c r="D556" s="2">
        <v>63</v>
      </c>
      <c r="E556" s="2" t="s">
        <v>48</v>
      </c>
      <c r="F556" s="2" t="str">
        <f>VLOOKUP(E556,D.ファイターリスト!$B$5:$C$86,2,FALSE)</f>
        <v>リュウ</v>
      </c>
      <c r="G556" s="2">
        <v>0</v>
      </c>
      <c r="H556" s="2">
        <v>0</v>
      </c>
      <c r="I556" s="2"/>
    </row>
    <row r="557" spans="1:9" x14ac:dyDescent="0.45">
      <c r="A557" s="2">
        <v>16</v>
      </c>
      <c r="B557" s="2" t="s">
        <v>5</v>
      </c>
      <c r="C557" s="2" t="str">
        <f>VLOOKUP(B557,D.ファイターリスト!$B$5:$C$86,2,FALSE)</f>
        <v>カメ</v>
      </c>
      <c r="D557" s="2">
        <v>64</v>
      </c>
      <c r="E557" s="2" t="s">
        <v>49</v>
      </c>
      <c r="F557" s="2" t="str">
        <f>VLOOKUP(E557,D.ファイターリスト!$B$5:$C$86,2,FALSE)</f>
        <v>剣</v>
      </c>
      <c r="G557" s="2">
        <v>0</v>
      </c>
      <c r="H557" s="2">
        <v>0</v>
      </c>
      <c r="I557" s="2"/>
    </row>
    <row r="558" spans="1:9" x14ac:dyDescent="0.45">
      <c r="A558" s="2">
        <v>16</v>
      </c>
      <c r="B558" s="2" t="s">
        <v>5</v>
      </c>
      <c r="C558" s="2" t="str">
        <f>VLOOKUP(B558,D.ファイターリスト!$B$5:$C$86,2,FALSE)</f>
        <v>カメ</v>
      </c>
      <c r="D558" s="2">
        <v>65</v>
      </c>
      <c r="E558" s="2" t="s">
        <v>50</v>
      </c>
      <c r="F558" s="2" t="str">
        <f>VLOOKUP(E558,D.ファイターリスト!$B$5:$C$86,2,FALSE)</f>
        <v>クラウド</v>
      </c>
      <c r="G558" s="2">
        <v>0</v>
      </c>
      <c r="H558" s="2">
        <v>0</v>
      </c>
      <c r="I558" s="2"/>
    </row>
    <row r="559" spans="1:9" x14ac:dyDescent="0.45">
      <c r="A559" s="2">
        <v>16</v>
      </c>
      <c r="B559" s="2" t="s">
        <v>5</v>
      </c>
      <c r="C559" s="2" t="str">
        <f>VLOOKUP(B559,D.ファイターリスト!$B$5:$C$86,2,FALSE)</f>
        <v>カメ</v>
      </c>
      <c r="D559" s="2">
        <v>66</v>
      </c>
      <c r="E559" s="2" t="s">
        <v>51</v>
      </c>
      <c r="F559" s="2" t="str">
        <f>VLOOKUP(E559,D.ファイターリスト!$B$5:$C$86,2,FALSE)</f>
        <v>カムイ</v>
      </c>
      <c r="G559" s="2">
        <v>0</v>
      </c>
      <c r="H559" s="2">
        <v>0</v>
      </c>
      <c r="I559" s="2"/>
    </row>
    <row r="560" spans="1:9" x14ac:dyDescent="0.45">
      <c r="A560" s="2">
        <v>16</v>
      </c>
      <c r="B560" s="2" t="s">
        <v>5</v>
      </c>
      <c r="C560" s="2" t="str">
        <f>VLOOKUP(B560,D.ファイターリスト!$B$5:$C$86,2,FALSE)</f>
        <v>カメ</v>
      </c>
      <c r="D560" s="2">
        <v>67</v>
      </c>
      <c r="E560" s="2" t="s">
        <v>52</v>
      </c>
      <c r="F560" s="2" t="str">
        <f>VLOOKUP(E560,D.ファイターリスト!$B$5:$C$86,2,FALSE)</f>
        <v>ベヨネッタ</v>
      </c>
      <c r="G560" s="2">
        <v>0</v>
      </c>
      <c r="H560" s="2">
        <v>0</v>
      </c>
      <c r="I560" s="2"/>
    </row>
    <row r="561" spans="1:9" x14ac:dyDescent="0.45">
      <c r="A561" s="2">
        <v>16</v>
      </c>
      <c r="B561" s="2" t="s">
        <v>5</v>
      </c>
      <c r="C561" s="2" t="str">
        <f>VLOOKUP(B561,D.ファイターリスト!$B$5:$C$86,2,FALSE)</f>
        <v>カメ</v>
      </c>
      <c r="D561" s="2">
        <v>68</v>
      </c>
      <c r="E561" s="2" t="s">
        <v>53</v>
      </c>
      <c r="F561" s="2" t="str">
        <f>VLOOKUP(E561,D.ファイターリスト!$B$5:$C$86,2,FALSE)</f>
        <v>イカ</v>
      </c>
      <c r="G561" s="2">
        <v>0</v>
      </c>
      <c r="H561" s="2">
        <v>0</v>
      </c>
      <c r="I561" s="2"/>
    </row>
    <row r="562" spans="1:9" x14ac:dyDescent="0.45">
      <c r="A562" s="2">
        <v>16</v>
      </c>
      <c r="B562" s="2" t="s">
        <v>5</v>
      </c>
      <c r="C562" s="2" t="str">
        <f>VLOOKUP(B562,D.ファイターリスト!$B$5:$C$86,2,FALSE)</f>
        <v>カメ</v>
      </c>
      <c r="D562" s="2">
        <v>69</v>
      </c>
      <c r="E562" s="2" t="s">
        <v>54</v>
      </c>
      <c r="F562" s="2" t="str">
        <f>VLOOKUP(E562,D.ファイターリスト!$B$5:$C$86,2,FALSE)</f>
        <v>リドリー</v>
      </c>
      <c r="G562" s="2">
        <v>0</v>
      </c>
      <c r="H562" s="2">
        <v>0</v>
      </c>
      <c r="I562" s="2"/>
    </row>
    <row r="563" spans="1:9" x14ac:dyDescent="0.45">
      <c r="A563" s="2">
        <v>16</v>
      </c>
      <c r="B563" s="2" t="s">
        <v>5</v>
      </c>
      <c r="C563" s="2" t="str">
        <f>VLOOKUP(B563,D.ファイターリスト!$B$5:$C$86,2,FALSE)</f>
        <v>カメ</v>
      </c>
      <c r="D563" s="2">
        <v>70</v>
      </c>
      <c r="E563" s="2" t="s">
        <v>151</v>
      </c>
      <c r="F563" s="2" t="str">
        <f>VLOOKUP(E563,D.ファイターリスト!$B$5:$C$86,2,FALSE)</f>
        <v>シモリヒ</v>
      </c>
      <c r="G563" s="2">
        <v>0</v>
      </c>
      <c r="H563" s="2">
        <v>0</v>
      </c>
      <c r="I563" s="2"/>
    </row>
    <row r="564" spans="1:9" x14ac:dyDescent="0.45">
      <c r="A564" s="2">
        <v>16</v>
      </c>
      <c r="B564" s="2" t="s">
        <v>5</v>
      </c>
      <c r="C564" s="2" t="str">
        <f>VLOOKUP(B564,D.ファイターリスト!$B$5:$C$86,2,FALSE)</f>
        <v>カメ</v>
      </c>
      <c r="D564" s="2">
        <v>72</v>
      </c>
      <c r="E564" s="2" t="s">
        <v>55</v>
      </c>
      <c r="F564" s="2" t="str">
        <f>VLOOKUP(E564,D.ファイターリスト!$B$5:$C$86,2,FALSE)</f>
        <v>キンクル</v>
      </c>
      <c r="G564" s="2">
        <v>0</v>
      </c>
      <c r="H564" s="2">
        <v>0</v>
      </c>
      <c r="I564" s="2"/>
    </row>
    <row r="565" spans="1:9" x14ac:dyDescent="0.45">
      <c r="A565" s="2">
        <v>16</v>
      </c>
      <c r="B565" s="2" t="s">
        <v>5</v>
      </c>
      <c r="C565" s="2" t="str">
        <f>VLOOKUP(B565,D.ファイターリスト!$B$5:$C$86,2,FALSE)</f>
        <v>カメ</v>
      </c>
      <c r="D565" s="2">
        <v>73</v>
      </c>
      <c r="E565" s="2" t="s">
        <v>56</v>
      </c>
      <c r="F565" s="2" t="str">
        <f>VLOOKUP(E565,D.ファイターリスト!$B$5:$C$86,2,FALSE)</f>
        <v>しずえ</v>
      </c>
      <c r="G565" s="2">
        <v>0</v>
      </c>
      <c r="H565" s="2">
        <v>0</v>
      </c>
      <c r="I565" s="2"/>
    </row>
    <row r="566" spans="1:9" x14ac:dyDescent="0.45">
      <c r="A566" s="2">
        <v>16</v>
      </c>
      <c r="B566" s="2" t="s">
        <v>5</v>
      </c>
      <c r="C566" s="2" t="str">
        <f>VLOOKUP(B566,D.ファイターリスト!$B$5:$C$86,2,FALSE)</f>
        <v>カメ</v>
      </c>
      <c r="D566" s="2">
        <v>74</v>
      </c>
      <c r="E566" s="2" t="s">
        <v>57</v>
      </c>
      <c r="F566" s="2" t="str">
        <f>VLOOKUP(E566,D.ファイターリスト!$B$5:$C$86,2,FALSE)</f>
        <v>ガエン</v>
      </c>
      <c r="G566" s="2">
        <v>0</v>
      </c>
      <c r="H566" s="2">
        <v>0</v>
      </c>
      <c r="I566" s="2"/>
    </row>
    <row r="567" spans="1:9" x14ac:dyDescent="0.45">
      <c r="A567" s="2">
        <v>16</v>
      </c>
      <c r="B567" s="2" t="s">
        <v>5</v>
      </c>
      <c r="C567" s="2" t="str">
        <f>VLOOKUP(B567,D.ファイターリスト!$B$5:$C$86,2,FALSE)</f>
        <v>カメ</v>
      </c>
      <c r="D567" s="2">
        <v>75</v>
      </c>
      <c r="E567" s="2" t="s">
        <v>58</v>
      </c>
      <c r="F567" s="2" t="str">
        <f>VLOOKUP(E567,D.ファイターリスト!$B$5:$C$86,2,FALSE)</f>
        <v>草</v>
      </c>
      <c r="G567" s="2">
        <v>0</v>
      </c>
      <c r="H567" s="2">
        <v>0</v>
      </c>
      <c r="I567" s="2"/>
    </row>
    <row r="568" spans="1:9" x14ac:dyDescent="0.45">
      <c r="A568" s="2">
        <v>16</v>
      </c>
      <c r="B568" s="2" t="s">
        <v>5</v>
      </c>
      <c r="C568" s="2" t="str">
        <f>VLOOKUP(B568,D.ファイターリスト!$B$5:$C$86,2,FALSE)</f>
        <v>カメ</v>
      </c>
      <c r="D568" s="2">
        <v>76</v>
      </c>
      <c r="E568" s="2" t="s">
        <v>59</v>
      </c>
      <c r="F568" s="2" t="str">
        <f>VLOOKUP(E568,D.ファイターリスト!$B$5:$C$86,2,FALSE)</f>
        <v>J</v>
      </c>
      <c r="G568" s="2">
        <v>0</v>
      </c>
      <c r="H568" s="2">
        <v>0</v>
      </c>
      <c r="I568" s="2"/>
    </row>
    <row r="569" spans="1:9" x14ac:dyDescent="0.45">
      <c r="A569" s="2">
        <v>16</v>
      </c>
      <c r="B569" s="2" t="s">
        <v>5</v>
      </c>
      <c r="C569" s="2" t="str">
        <f>VLOOKUP(B569,D.ファイターリスト!$B$5:$C$86,2,FALSE)</f>
        <v>カメ</v>
      </c>
      <c r="D569" s="2">
        <v>77</v>
      </c>
      <c r="E569" s="2" t="s">
        <v>60</v>
      </c>
      <c r="F569" s="2" t="str">
        <f>VLOOKUP(E569,D.ファイターリスト!$B$5:$C$86,2,FALSE)</f>
        <v>勇者</v>
      </c>
      <c r="G569" s="2">
        <v>0</v>
      </c>
      <c r="H569" s="2">
        <v>0</v>
      </c>
      <c r="I569" s="2"/>
    </row>
    <row r="570" spans="1:9" x14ac:dyDescent="0.45">
      <c r="A570" s="2">
        <v>16</v>
      </c>
      <c r="B570" s="2" t="s">
        <v>5</v>
      </c>
      <c r="C570" s="2" t="str">
        <f>VLOOKUP(B570,D.ファイターリスト!$B$5:$C$86,2,FALSE)</f>
        <v>カメ</v>
      </c>
      <c r="D570" s="2">
        <v>78</v>
      </c>
      <c r="E570" s="2" t="s">
        <v>61</v>
      </c>
      <c r="F570" s="2" t="str">
        <f>VLOOKUP(E570,D.ファイターリスト!$B$5:$C$86,2,FALSE)</f>
        <v>バンカズ</v>
      </c>
      <c r="G570" s="2">
        <v>1</v>
      </c>
      <c r="H570" s="2">
        <v>0</v>
      </c>
      <c r="I570" s="2"/>
    </row>
    <row r="571" spans="1:9" x14ac:dyDescent="0.45">
      <c r="A571" s="2">
        <v>16</v>
      </c>
      <c r="B571" s="2" t="s">
        <v>5</v>
      </c>
      <c r="C571" s="2" t="str">
        <f>VLOOKUP(B571,D.ファイターリスト!$B$5:$C$86,2,FALSE)</f>
        <v>カメ</v>
      </c>
      <c r="D571" s="2">
        <v>79</v>
      </c>
      <c r="E571" s="2" t="s">
        <v>62</v>
      </c>
      <c r="F571" s="2" t="str">
        <f>VLOOKUP(E571,D.ファイターリスト!$B$5:$C$86,2,FALSE)</f>
        <v>テリー</v>
      </c>
      <c r="G571" s="2">
        <v>0</v>
      </c>
      <c r="H571" s="2">
        <v>0</v>
      </c>
      <c r="I571" s="2"/>
    </row>
    <row r="572" spans="1:9" x14ac:dyDescent="0.45">
      <c r="A572" s="2">
        <v>16</v>
      </c>
      <c r="B572" s="2" t="s">
        <v>5</v>
      </c>
      <c r="C572" s="2" t="str">
        <f>VLOOKUP(B572,D.ファイターリスト!$B$5:$C$86,2,FALSE)</f>
        <v>カメ</v>
      </c>
      <c r="D572" s="2">
        <v>80</v>
      </c>
      <c r="E572" s="2" t="s">
        <v>63</v>
      </c>
      <c r="F572" s="2" t="str">
        <f>VLOOKUP(E572,D.ファイターリスト!$B$5:$C$86,2,FALSE)</f>
        <v>ベレトス</v>
      </c>
      <c r="G572" s="2">
        <v>0</v>
      </c>
      <c r="H572" s="2">
        <v>0</v>
      </c>
      <c r="I572" s="2"/>
    </row>
    <row r="573" spans="1:9" x14ac:dyDescent="0.45">
      <c r="A573" s="2">
        <v>16</v>
      </c>
      <c r="B573" s="2" t="s">
        <v>5</v>
      </c>
      <c r="C573" s="2" t="str">
        <f>VLOOKUP(B573,D.ファイターリスト!$B$5:$C$86,2,FALSE)</f>
        <v>カメ</v>
      </c>
      <c r="D573" s="2">
        <v>81</v>
      </c>
      <c r="E573" s="2" t="s">
        <v>64</v>
      </c>
      <c r="F573" s="2" t="str">
        <f>VLOOKUP(E573,D.ファイターリスト!$B$5:$C$86,2,FALSE)</f>
        <v>メン</v>
      </c>
      <c r="G573" s="2">
        <v>0</v>
      </c>
      <c r="H573" s="2">
        <v>0</v>
      </c>
      <c r="I573" s="2"/>
    </row>
    <row r="574" spans="1:9" x14ac:dyDescent="0.45">
      <c r="A574" s="2">
        <v>16</v>
      </c>
      <c r="B574" s="2" t="s">
        <v>5</v>
      </c>
      <c r="C574" s="2" t="str">
        <f>VLOOKUP(B574,D.ファイターリスト!$B$5:$C$86,2,FALSE)</f>
        <v>カメ</v>
      </c>
      <c r="D574" s="2">
        <v>82</v>
      </c>
      <c r="E574" s="2" t="s">
        <v>65</v>
      </c>
      <c r="F574" s="2" t="str">
        <f>VLOOKUP(E574,D.ファイターリスト!$B$5:$C$86,2,FALSE)</f>
        <v>スティーブ</v>
      </c>
      <c r="G574" s="2">
        <v>0</v>
      </c>
      <c r="H574" s="2">
        <v>0</v>
      </c>
      <c r="I574" s="2"/>
    </row>
    <row r="575" spans="1:9" x14ac:dyDescent="0.45">
      <c r="A575" s="2">
        <v>16</v>
      </c>
      <c r="B575" s="2" t="s">
        <v>5</v>
      </c>
      <c r="C575" s="2" t="str">
        <f>VLOOKUP(B575,D.ファイターリスト!$B$5:$C$86,2,FALSE)</f>
        <v>カメ</v>
      </c>
      <c r="D575" s="2">
        <v>83</v>
      </c>
      <c r="E575" s="2" t="s">
        <v>66</v>
      </c>
      <c r="F575" s="2" t="str">
        <f>VLOOKUP(E575,D.ファイターリスト!$B$5:$C$86,2,FALSE)</f>
        <v>セフィロス</v>
      </c>
      <c r="G575" s="2">
        <v>0</v>
      </c>
      <c r="H575" s="2">
        <v>0</v>
      </c>
      <c r="I575" s="2"/>
    </row>
    <row r="576" spans="1:9" x14ac:dyDescent="0.45">
      <c r="A576" s="2">
        <v>16</v>
      </c>
      <c r="B576" s="2" t="s">
        <v>5</v>
      </c>
      <c r="C576" s="2" t="str">
        <f>VLOOKUP(B576,D.ファイターリスト!$B$5:$C$86,2,FALSE)</f>
        <v>カメ</v>
      </c>
      <c r="D576" s="2">
        <v>84</v>
      </c>
      <c r="E576" s="2" t="s">
        <v>67</v>
      </c>
      <c r="F576" s="2" t="str">
        <f>VLOOKUP(E576,D.ファイターリスト!$B$5:$C$86,2,FALSE)</f>
        <v>ホムヒカ</v>
      </c>
      <c r="G576" s="2">
        <v>0</v>
      </c>
      <c r="H576" s="2">
        <v>0</v>
      </c>
      <c r="I576" s="2"/>
    </row>
    <row r="577" spans="1:9" x14ac:dyDescent="0.45">
      <c r="A577" s="2">
        <v>16</v>
      </c>
      <c r="B577" s="2" t="s">
        <v>5</v>
      </c>
      <c r="C577" s="2" t="str">
        <f>VLOOKUP(B577,D.ファイターリスト!$B$5:$C$86,2,FALSE)</f>
        <v>カメ</v>
      </c>
      <c r="D577" s="2">
        <v>85</v>
      </c>
      <c r="E577" s="2" t="s">
        <v>68</v>
      </c>
      <c r="F577" s="2" t="str">
        <f>VLOOKUP(E577,D.ファイターリスト!$B$5:$C$86,2,FALSE)</f>
        <v>カズヤ</v>
      </c>
      <c r="G577" s="2">
        <v>0</v>
      </c>
      <c r="H577" s="2">
        <v>1</v>
      </c>
      <c r="I577" s="2"/>
    </row>
    <row r="578" spans="1:9" x14ac:dyDescent="0.45">
      <c r="A578" s="2">
        <v>16</v>
      </c>
      <c r="B578" s="2" t="s">
        <v>5</v>
      </c>
      <c r="C578" s="2" t="str">
        <f>VLOOKUP(B578,D.ファイターリスト!$B$5:$C$86,2,FALSE)</f>
        <v>カメ</v>
      </c>
      <c r="D578" s="2">
        <v>86</v>
      </c>
      <c r="E578" s="2" t="s">
        <v>69</v>
      </c>
      <c r="F578" s="2" t="str">
        <f>VLOOKUP(E578,D.ファイターリスト!$B$5:$C$86,2,FALSE)</f>
        <v>ソラ</v>
      </c>
      <c r="G578" s="2">
        <v>0</v>
      </c>
      <c r="H578" s="2">
        <v>0</v>
      </c>
      <c r="I578" s="2"/>
    </row>
  </sheetData>
  <autoFilter ref="A4:I578" xr:uid="{99A361BB-1CD4-4FA3-8828-ACA1C3806F12}"/>
  <phoneticPr fontId="2"/>
  <conditionalFormatting sqref="I5:I54">
    <cfRule type="expression" dxfId="41" priority="42">
      <formula>$D5=0</formula>
    </cfRule>
  </conditionalFormatting>
  <conditionalFormatting sqref="I58:I65">
    <cfRule type="expression" dxfId="40" priority="41">
      <formula>$D58=0</formula>
    </cfRule>
  </conditionalFormatting>
  <conditionalFormatting sqref="I66:I75">
    <cfRule type="expression" dxfId="39" priority="40">
      <formula>$D66=0</formula>
    </cfRule>
  </conditionalFormatting>
  <conditionalFormatting sqref="I76">
    <cfRule type="expression" dxfId="38" priority="39">
      <formula>$D76=0</formula>
    </cfRule>
  </conditionalFormatting>
  <conditionalFormatting sqref="I79">
    <cfRule type="expression" dxfId="37" priority="38">
      <formula>$D79=0</formula>
    </cfRule>
  </conditionalFormatting>
  <conditionalFormatting sqref="I83">
    <cfRule type="expression" dxfId="36" priority="37">
      <formula>$D83=0</formula>
    </cfRule>
  </conditionalFormatting>
  <conditionalFormatting sqref="I85">
    <cfRule type="expression" dxfId="35" priority="36">
      <formula>$D85=0</formula>
    </cfRule>
  </conditionalFormatting>
  <conditionalFormatting sqref="I82">
    <cfRule type="expression" dxfId="34" priority="35">
      <formula>$D82=0</formula>
    </cfRule>
  </conditionalFormatting>
  <conditionalFormatting sqref="I86">
    <cfRule type="expression" dxfId="33" priority="34">
      <formula>$D86=0</formula>
    </cfRule>
  </conditionalFormatting>
  <conditionalFormatting sqref="I77">
    <cfRule type="expression" dxfId="32" priority="33">
      <formula>$D77=0</formula>
    </cfRule>
  </conditionalFormatting>
  <conditionalFormatting sqref="I84">
    <cfRule type="expression" dxfId="31" priority="32">
      <formula>$D84=0</formula>
    </cfRule>
  </conditionalFormatting>
  <conditionalFormatting sqref="I80">
    <cfRule type="expression" dxfId="30" priority="31">
      <formula>$D80=0</formula>
    </cfRule>
  </conditionalFormatting>
  <conditionalFormatting sqref="I78">
    <cfRule type="expression" dxfId="29" priority="30">
      <formula>$D78=0</formula>
    </cfRule>
  </conditionalFormatting>
  <conditionalFormatting sqref="I55">
    <cfRule type="expression" dxfId="28" priority="29">
      <formula>$D55=0</formula>
    </cfRule>
  </conditionalFormatting>
  <conditionalFormatting sqref="I169:I218">
    <cfRule type="expression" dxfId="27" priority="28">
      <formula>$D169=0</formula>
    </cfRule>
  </conditionalFormatting>
  <conditionalFormatting sqref="I222:I229">
    <cfRule type="expression" dxfId="26" priority="27">
      <formula>$D222=0</formula>
    </cfRule>
  </conditionalFormatting>
  <conditionalFormatting sqref="I230:I239">
    <cfRule type="expression" dxfId="25" priority="26">
      <formula>$D230=0</formula>
    </cfRule>
  </conditionalFormatting>
  <conditionalFormatting sqref="I240">
    <cfRule type="expression" dxfId="24" priority="25">
      <formula>$D240=0</formula>
    </cfRule>
  </conditionalFormatting>
  <conditionalFormatting sqref="I243">
    <cfRule type="expression" dxfId="23" priority="24">
      <formula>$D243=0</formula>
    </cfRule>
  </conditionalFormatting>
  <conditionalFormatting sqref="I247">
    <cfRule type="expression" dxfId="22" priority="23">
      <formula>$D247=0</formula>
    </cfRule>
  </conditionalFormatting>
  <conditionalFormatting sqref="I249">
    <cfRule type="expression" dxfId="21" priority="22">
      <formula>$D249=0</formula>
    </cfRule>
  </conditionalFormatting>
  <conditionalFormatting sqref="I246">
    <cfRule type="expression" dxfId="20" priority="21">
      <formula>$D246=0</formula>
    </cfRule>
  </conditionalFormatting>
  <conditionalFormatting sqref="I250">
    <cfRule type="expression" dxfId="19" priority="20">
      <formula>$D250=0</formula>
    </cfRule>
  </conditionalFormatting>
  <conditionalFormatting sqref="I241">
    <cfRule type="expression" dxfId="18" priority="19">
      <formula>$D241=0</formula>
    </cfRule>
  </conditionalFormatting>
  <conditionalFormatting sqref="I248">
    <cfRule type="expression" dxfId="17" priority="18">
      <formula>$D248=0</formula>
    </cfRule>
  </conditionalFormatting>
  <conditionalFormatting sqref="I244">
    <cfRule type="expression" dxfId="16" priority="17">
      <formula>$D244=0</formula>
    </cfRule>
  </conditionalFormatting>
  <conditionalFormatting sqref="I242">
    <cfRule type="expression" dxfId="15" priority="16">
      <formula>$D242=0</formula>
    </cfRule>
  </conditionalFormatting>
  <conditionalFormatting sqref="I219">
    <cfRule type="expression" dxfId="14" priority="15">
      <formula>$D219=0</formula>
    </cfRule>
  </conditionalFormatting>
  <conditionalFormatting sqref="I251:I300">
    <cfRule type="expression" dxfId="13" priority="14">
      <formula>$D251=0</formula>
    </cfRule>
  </conditionalFormatting>
  <conditionalFormatting sqref="I304:I311">
    <cfRule type="expression" dxfId="12" priority="13">
      <formula>$D304=0</formula>
    </cfRule>
  </conditionalFormatting>
  <conditionalFormatting sqref="I312:I321">
    <cfRule type="expression" dxfId="11" priority="12">
      <formula>$D312=0</formula>
    </cfRule>
  </conditionalFormatting>
  <conditionalFormatting sqref="I322">
    <cfRule type="expression" dxfId="10" priority="11">
      <formula>$D322=0</formula>
    </cfRule>
  </conditionalFormatting>
  <conditionalFormatting sqref="I325">
    <cfRule type="expression" dxfId="9" priority="10">
      <formula>$D325=0</formula>
    </cfRule>
  </conditionalFormatting>
  <conditionalFormatting sqref="I329">
    <cfRule type="expression" dxfId="8" priority="9">
      <formula>$D329=0</formula>
    </cfRule>
  </conditionalFormatting>
  <conditionalFormatting sqref="I331">
    <cfRule type="expression" dxfId="7" priority="8">
      <formula>$D331=0</formula>
    </cfRule>
  </conditionalFormatting>
  <conditionalFormatting sqref="I328">
    <cfRule type="expression" dxfId="6" priority="7">
      <formula>$D328=0</formula>
    </cfRule>
  </conditionalFormatting>
  <conditionalFormatting sqref="I332">
    <cfRule type="expression" dxfId="5" priority="6">
      <formula>$D332=0</formula>
    </cfRule>
  </conditionalFormatting>
  <conditionalFormatting sqref="I323">
    <cfRule type="expression" dxfId="4" priority="5">
      <formula>$D323=0</formula>
    </cfRule>
  </conditionalFormatting>
  <conditionalFormatting sqref="I330">
    <cfRule type="expression" dxfId="3" priority="4">
      <formula>$D330=0</formula>
    </cfRule>
  </conditionalFormatting>
  <conditionalFormatting sqref="I326">
    <cfRule type="expression" dxfId="2" priority="3">
      <formula>$D326=0</formula>
    </cfRule>
  </conditionalFormatting>
  <conditionalFormatting sqref="I324">
    <cfRule type="expression" dxfId="1" priority="2">
      <formula>$D324=0</formula>
    </cfRule>
  </conditionalFormatting>
  <conditionalFormatting sqref="I301">
    <cfRule type="expression" dxfId="0" priority="1">
      <formula>$D301=0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6</vt:i4>
      </vt:variant>
    </vt:vector>
  </HeadingPairs>
  <TitlesOfParts>
    <vt:vector size="13" baseType="lpstr">
      <vt:lpstr>テーブル一覧</vt:lpstr>
      <vt:lpstr>ファイターリスト</vt:lpstr>
      <vt:lpstr>D.ファイターリスト</vt:lpstr>
      <vt:lpstr>プレイヤー管理</vt:lpstr>
      <vt:lpstr>D.プレイヤー管理</vt:lpstr>
      <vt:lpstr>勝率管理</vt:lpstr>
      <vt:lpstr>D.勝率管理</vt:lpstr>
      <vt:lpstr>テーブル一覧!Print_Titles</vt:lpstr>
      <vt:lpstr>ファイターリスト!Print_Titles</vt:lpstr>
      <vt:lpstr>プレイヤー管理!Print_Titles</vt:lpstr>
      <vt:lpstr>勝率管理!Print_Titles</vt:lpstr>
      <vt:lpstr>スキーマ</vt:lpstr>
      <vt:lpstr>テーブル論理名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katsumata_a</dc:creator>
  <cp:lastModifiedBy>Atsushi Katsumata</cp:lastModifiedBy>
  <dcterms:created xsi:type="dcterms:W3CDTF">2023-08-17T03:45:49Z</dcterms:created>
  <dcterms:modified xsi:type="dcterms:W3CDTF">2023-12-15T14:24:13Z</dcterms:modified>
</cp:coreProperties>
</file>